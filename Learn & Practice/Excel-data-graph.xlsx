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tabRatio="854" activeTab="9"/>
  </bookViews>
  <sheets>
    <sheet name="柱形图" sheetId="7" r:id="rId1"/>
    <sheet name="条形图" sheetId="8" r:id="rId2"/>
    <sheet name="折线图" sheetId="6" r:id="rId3"/>
    <sheet name="饼图" sheetId="9" r:id="rId4"/>
    <sheet name="美化图表" sheetId="12" r:id="rId5"/>
    <sheet name="漏斗图" sheetId="14" r:id="rId6"/>
    <sheet name="漏斗图-原始" sheetId="4" state="hidden" r:id="rId7"/>
    <sheet name="散点图" sheetId="5" r:id="rId8"/>
    <sheet name="面积图" sheetId="10" r:id="rId9"/>
    <sheet name="组合图" sheetId="11" r:id="rId10"/>
    <sheet name="簇状+堆积+折线+数据点折线柱形图-转化漏斗" sheetId="1" state="hidden" r:id="rId11"/>
    <sheet name="饼图-直播间内出发注册来源分布" sheetId="2" state="hidden" r:id="rId12"/>
  </sheets>
  <calcPr calcId="145621"/>
</workbook>
</file>

<file path=xl/calcChain.xml><?xml version="1.0" encoding="utf-8"?>
<calcChain xmlns="http://schemas.openxmlformats.org/spreadsheetml/2006/main">
  <c r="M3" i="14" l="1"/>
  <c r="M4" i="14"/>
  <c r="M5" i="14"/>
  <c r="M6" i="14"/>
  <c r="K3" i="14"/>
  <c r="K4" i="14"/>
  <c r="K5" i="14"/>
  <c r="K6" i="14"/>
  <c r="M2" i="14"/>
  <c r="K2" i="14"/>
  <c r="G6" i="14" l="1"/>
  <c r="F6" i="14"/>
  <c r="E6" i="14"/>
  <c r="D6" i="14"/>
  <c r="C6" i="14"/>
  <c r="T3" i="4" l="1"/>
  <c r="T4" i="4"/>
  <c r="T5" i="4"/>
  <c r="T6" i="4"/>
  <c r="T2" i="4"/>
  <c r="S3" i="4"/>
  <c r="S4" i="4"/>
  <c r="S5" i="4"/>
  <c r="S6" i="4"/>
  <c r="S2" i="4"/>
  <c r="L12" i="4"/>
  <c r="L13" i="4"/>
  <c r="L14" i="4"/>
  <c r="L15" i="4"/>
  <c r="J12" i="4"/>
  <c r="J13" i="4"/>
  <c r="J14" i="4"/>
  <c r="J15" i="4"/>
  <c r="L11" i="4"/>
  <c r="J11" i="4"/>
  <c r="K15" i="4"/>
  <c r="K14" i="4"/>
  <c r="K13" i="4"/>
  <c r="K12" i="4"/>
  <c r="K11" i="4"/>
  <c r="J8" i="4"/>
  <c r="J2" i="4"/>
  <c r="P3" i="4" l="1"/>
  <c r="P4" i="4"/>
  <c r="P5" i="4"/>
  <c r="P6" i="4"/>
  <c r="P2" i="4"/>
  <c r="O3" i="4"/>
  <c r="O4" i="4"/>
  <c r="O5" i="4"/>
  <c r="O6" i="4"/>
  <c r="O2" i="4"/>
  <c r="N3" i="4"/>
  <c r="N4" i="4"/>
  <c r="N5" i="4"/>
  <c r="N6" i="4"/>
  <c r="N2" i="4"/>
  <c r="L3" i="4"/>
  <c r="L4" i="4"/>
  <c r="L5" i="4"/>
  <c r="L6" i="4"/>
  <c r="J3" i="4"/>
  <c r="J4" i="4"/>
  <c r="J5" i="4"/>
  <c r="J6" i="4"/>
  <c r="L2" i="4"/>
  <c r="I6" i="4"/>
  <c r="I5" i="4"/>
  <c r="I4" i="4"/>
  <c r="I3" i="4"/>
  <c r="K6" i="4"/>
  <c r="K5" i="4"/>
  <c r="K4" i="4"/>
  <c r="K3" i="4"/>
  <c r="K2" i="4"/>
  <c r="I2" i="4"/>
  <c r="D6" i="4"/>
  <c r="E6" i="4"/>
  <c r="F6" i="4"/>
  <c r="G6" i="4"/>
  <c r="C6" i="4"/>
</calcChain>
</file>

<file path=xl/sharedStrings.xml><?xml version="1.0" encoding="utf-8"?>
<sst xmlns="http://schemas.openxmlformats.org/spreadsheetml/2006/main" count="217" uniqueCount="88">
  <si>
    <t>date</t>
  </si>
  <si>
    <t>os</t>
  </si>
  <si>
    <t>app_version</t>
  </si>
  <si>
    <t>注册弹窗展现人数</t>
  </si>
  <si>
    <t>新用户登陆人数</t>
  </si>
  <si>
    <t>关闭弹窗人数</t>
  </si>
  <si>
    <t>qq登陆人数</t>
  </si>
  <si>
    <t>微博登陆人数</t>
  </si>
  <si>
    <t>微信登陆人数</t>
  </si>
  <si>
    <t>手机登陆人数</t>
  </si>
  <si>
    <t>手机注册人数</t>
  </si>
  <si>
    <t>ios</t>
  </si>
  <si>
    <t>2.1.0</t>
  </si>
  <si>
    <t>user_num</t>
  </si>
  <si>
    <t>my</t>
  </si>
  <si>
    <t>popup_source</t>
    <phoneticPr fontId="1" type="noConversion"/>
  </si>
  <si>
    <t>login</t>
  </si>
  <si>
    <t>open_live</t>
  </si>
  <si>
    <t>video_post</t>
  </si>
  <si>
    <t>follow</t>
  </si>
  <si>
    <t>not_interested</t>
  </si>
  <si>
    <t>comment</t>
  </si>
  <si>
    <t>comment_live</t>
  </si>
  <si>
    <t>gift</t>
  </si>
  <si>
    <t>os_type</t>
  </si>
  <si>
    <t>iOS</t>
  </si>
  <si>
    <t>日期</t>
    <phoneticPr fontId="1" type="noConversion"/>
  </si>
  <si>
    <t>注册</t>
  </si>
  <si>
    <t>注册</t>
    <phoneticPr fontId="1" type="noConversion"/>
  </si>
  <si>
    <t>托管</t>
  </si>
  <si>
    <t>充值</t>
  </si>
  <si>
    <t>充值</t>
    <phoneticPr fontId="1" type="noConversion"/>
  </si>
  <si>
    <t>投资</t>
  </si>
  <si>
    <t>投资</t>
    <phoneticPr fontId="1" type="noConversion"/>
  </si>
  <si>
    <t>复投</t>
  </si>
  <si>
    <t>复投</t>
    <phoneticPr fontId="1" type="noConversion"/>
  </si>
  <si>
    <t>合计</t>
    <phoneticPr fontId="1" type="noConversion"/>
  </si>
  <si>
    <t>托管</t>
    <phoneticPr fontId="1" type="noConversion"/>
  </si>
  <si>
    <t>渠道1</t>
    <phoneticPr fontId="1" type="noConversion"/>
  </si>
  <si>
    <t>渠道2</t>
    <phoneticPr fontId="1" type="noConversion"/>
  </si>
  <si>
    <t>渠道3</t>
    <phoneticPr fontId="1" type="noConversion"/>
  </si>
  <si>
    <t>渠道4</t>
    <phoneticPr fontId="1" type="noConversion"/>
  </si>
  <si>
    <t>渠道4-1</t>
    <phoneticPr fontId="1" type="noConversion"/>
  </si>
  <si>
    <t>渠道4-2</t>
    <phoneticPr fontId="1" type="noConversion"/>
  </si>
  <si>
    <t>渠道4-3</t>
    <phoneticPr fontId="1" type="noConversion"/>
  </si>
  <si>
    <t>用户1</t>
    <phoneticPr fontId="1" type="noConversion"/>
  </si>
  <si>
    <t>用户2</t>
    <phoneticPr fontId="1" type="noConversion"/>
  </si>
  <si>
    <t>用户3</t>
    <phoneticPr fontId="1" type="noConversion"/>
  </si>
  <si>
    <t>用户4</t>
  </si>
  <si>
    <t>用户5</t>
  </si>
  <si>
    <t>用户6</t>
  </si>
  <si>
    <t>用户7</t>
  </si>
  <si>
    <t>用户8</t>
  </si>
  <si>
    <t>用户9</t>
  </si>
  <si>
    <t>用户10</t>
  </si>
  <si>
    <t>用户11</t>
  </si>
  <si>
    <t>用户12</t>
  </si>
  <si>
    <t>用户13</t>
  </si>
  <si>
    <t>用户14</t>
  </si>
  <si>
    <t>用户15</t>
  </si>
  <si>
    <t>用户16</t>
  </si>
  <si>
    <t>用户17</t>
  </si>
  <si>
    <t>用户18</t>
  </si>
  <si>
    <t>用户19</t>
  </si>
  <si>
    <t>用户20</t>
  </si>
  <si>
    <t>用户21</t>
  </si>
  <si>
    <t>用户22</t>
  </si>
  <si>
    <t>用户23</t>
  </si>
  <si>
    <t>用户24</t>
  </si>
  <si>
    <t>投资金额</t>
    <phoneticPr fontId="1" type="noConversion"/>
  </si>
  <si>
    <t>充值金额</t>
    <phoneticPr fontId="1" type="noConversion"/>
  </si>
  <si>
    <t>app投资人数</t>
    <phoneticPr fontId="1" type="noConversion"/>
  </si>
  <si>
    <t>pc投资人数</t>
    <phoneticPr fontId="1" type="noConversion"/>
  </si>
  <si>
    <t>辅助列</t>
    <phoneticPr fontId="1" type="noConversion"/>
  </si>
  <si>
    <t>展示列</t>
    <phoneticPr fontId="1" type="noConversion"/>
  </si>
  <si>
    <t>展示列</t>
    <phoneticPr fontId="1" type="noConversion"/>
  </si>
  <si>
    <t>·</t>
    <phoneticPr fontId="1" type="noConversion"/>
  </si>
  <si>
    <t>渠道名称</t>
    <phoneticPr fontId="1" type="noConversion"/>
  </si>
  <si>
    <t>销售数量</t>
    <phoneticPr fontId="1" type="noConversion"/>
  </si>
  <si>
    <t>注册人数</t>
    <phoneticPr fontId="1" type="noConversion"/>
  </si>
  <si>
    <t>同比增长</t>
    <phoneticPr fontId="1" type="noConversion"/>
  </si>
  <si>
    <t>渠道4</t>
  </si>
  <si>
    <t>渠道2</t>
  </si>
  <si>
    <t>渠道3</t>
  </si>
  <si>
    <t>渠道5</t>
  </si>
  <si>
    <t>渠道6</t>
  </si>
  <si>
    <t>展示列</t>
    <phoneticPr fontId="1" type="noConversion"/>
  </si>
  <si>
    <t>辅助列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</si>
</sst>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华文细黑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31" fontId="0" fillId="0" borderId="0" xfId="0" applyNumberFormat="1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31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投资人数走势图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柱形图!$C$1</c:f>
              <c:strCache>
                <c:ptCount val="1"/>
                <c:pt idx="0">
                  <c:v>app投资人数</c:v>
                </c:pt>
              </c:strCache>
            </c:strRef>
          </c:tx>
          <c:invertIfNegative val="0"/>
          <c:cat>
            <c:numRef>
              <c:f>柱形图!$B$2:$B$16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柱形图!$C$2:$C$16</c:f>
              <c:numCache>
                <c:formatCode>General</c:formatCode>
                <c:ptCount val="15"/>
                <c:pt idx="0">
                  <c:v>3078</c:v>
                </c:pt>
                <c:pt idx="1">
                  <c:v>3844</c:v>
                </c:pt>
                <c:pt idx="2">
                  <c:v>3348</c:v>
                </c:pt>
                <c:pt idx="3">
                  <c:v>3254</c:v>
                </c:pt>
                <c:pt idx="4">
                  <c:v>3259</c:v>
                </c:pt>
                <c:pt idx="5">
                  <c:v>3750</c:v>
                </c:pt>
                <c:pt idx="6">
                  <c:v>4011</c:v>
                </c:pt>
                <c:pt idx="7">
                  <c:v>3739</c:v>
                </c:pt>
                <c:pt idx="8">
                  <c:v>3399</c:v>
                </c:pt>
                <c:pt idx="9">
                  <c:v>4006</c:v>
                </c:pt>
                <c:pt idx="10">
                  <c:v>3825</c:v>
                </c:pt>
                <c:pt idx="11">
                  <c:v>3432</c:v>
                </c:pt>
                <c:pt idx="12">
                  <c:v>3944</c:v>
                </c:pt>
                <c:pt idx="13">
                  <c:v>3338</c:v>
                </c:pt>
                <c:pt idx="14">
                  <c:v>3603</c:v>
                </c:pt>
              </c:numCache>
            </c:numRef>
          </c:val>
        </c:ser>
        <c:ser>
          <c:idx val="1"/>
          <c:order val="1"/>
          <c:tx>
            <c:strRef>
              <c:f>柱形图!$D$1</c:f>
              <c:strCache>
                <c:ptCount val="1"/>
                <c:pt idx="0">
                  <c:v>pc投资人数</c:v>
                </c:pt>
              </c:strCache>
            </c:strRef>
          </c:tx>
          <c:invertIfNegative val="0"/>
          <c:cat>
            <c:numRef>
              <c:f>柱形图!$B$2:$B$16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柱形图!$D$2:$D$16</c:f>
              <c:numCache>
                <c:formatCode>General</c:formatCode>
                <c:ptCount val="15"/>
                <c:pt idx="0">
                  <c:v>4590</c:v>
                </c:pt>
                <c:pt idx="1">
                  <c:v>5587</c:v>
                </c:pt>
                <c:pt idx="2">
                  <c:v>5526</c:v>
                </c:pt>
                <c:pt idx="3">
                  <c:v>5228</c:v>
                </c:pt>
                <c:pt idx="4">
                  <c:v>4894</c:v>
                </c:pt>
                <c:pt idx="5">
                  <c:v>4661</c:v>
                </c:pt>
                <c:pt idx="6">
                  <c:v>5572</c:v>
                </c:pt>
                <c:pt idx="7">
                  <c:v>5045</c:v>
                </c:pt>
                <c:pt idx="8">
                  <c:v>4893</c:v>
                </c:pt>
                <c:pt idx="9">
                  <c:v>5351</c:v>
                </c:pt>
                <c:pt idx="10">
                  <c:v>4882</c:v>
                </c:pt>
                <c:pt idx="11">
                  <c:v>5390</c:v>
                </c:pt>
                <c:pt idx="12">
                  <c:v>5002</c:v>
                </c:pt>
                <c:pt idx="13">
                  <c:v>4899</c:v>
                </c:pt>
                <c:pt idx="14">
                  <c:v>4678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9936640"/>
        <c:axId val="69938176"/>
      </c:barChart>
      <c:dateAx>
        <c:axId val="69936640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crossAx val="69938176"/>
        <c:crosses val="autoZero"/>
        <c:auto val="1"/>
        <c:lblOffset val="100"/>
        <c:baseTimeUnit val="days"/>
      </c:dateAx>
      <c:valAx>
        <c:axId val="6993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6993664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投资人数走势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柱形图!$C$1</c:f>
              <c:strCache>
                <c:ptCount val="1"/>
                <c:pt idx="0">
                  <c:v>app投资人数</c:v>
                </c:pt>
              </c:strCache>
            </c:strRef>
          </c:tx>
          <c:invertIfNegative val="0"/>
          <c:cat>
            <c:numRef>
              <c:f>柱形图!$B$2:$B$16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柱形图!$C$2:$C$16</c:f>
              <c:numCache>
                <c:formatCode>General</c:formatCode>
                <c:ptCount val="15"/>
                <c:pt idx="0">
                  <c:v>3078</c:v>
                </c:pt>
                <c:pt idx="1">
                  <c:v>3844</c:v>
                </c:pt>
                <c:pt idx="2">
                  <c:v>3348</c:v>
                </c:pt>
                <c:pt idx="3">
                  <c:v>3254</c:v>
                </c:pt>
                <c:pt idx="4">
                  <c:v>3259</c:v>
                </c:pt>
                <c:pt idx="5">
                  <c:v>3750</c:v>
                </c:pt>
                <c:pt idx="6">
                  <c:v>4011</c:v>
                </c:pt>
                <c:pt idx="7">
                  <c:v>3739</c:v>
                </c:pt>
                <c:pt idx="8">
                  <c:v>3399</c:v>
                </c:pt>
                <c:pt idx="9">
                  <c:v>4006</c:v>
                </c:pt>
                <c:pt idx="10">
                  <c:v>3825</c:v>
                </c:pt>
                <c:pt idx="11">
                  <c:v>3432</c:v>
                </c:pt>
                <c:pt idx="12">
                  <c:v>3944</c:v>
                </c:pt>
                <c:pt idx="13">
                  <c:v>3338</c:v>
                </c:pt>
                <c:pt idx="14">
                  <c:v>3603</c:v>
                </c:pt>
              </c:numCache>
            </c:numRef>
          </c:val>
        </c:ser>
        <c:ser>
          <c:idx val="1"/>
          <c:order val="1"/>
          <c:tx>
            <c:strRef>
              <c:f>柱形图!$D$1</c:f>
              <c:strCache>
                <c:ptCount val="1"/>
                <c:pt idx="0">
                  <c:v>pc投资人数</c:v>
                </c:pt>
              </c:strCache>
            </c:strRef>
          </c:tx>
          <c:invertIfNegative val="0"/>
          <c:cat>
            <c:numRef>
              <c:f>柱形图!$B$2:$B$16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柱形图!$D$2:$D$16</c:f>
              <c:numCache>
                <c:formatCode>General</c:formatCode>
                <c:ptCount val="15"/>
                <c:pt idx="0">
                  <c:v>4590</c:v>
                </c:pt>
                <c:pt idx="1">
                  <c:v>5587</c:v>
                </c:pt>
                <c:pt idx="2">
                  <c:v>5526</c:v>
                </c:pt>
                <c:pt idx="3">
                  <c:v>5228</c:v>
                </c:pt>
                <c:pt idx="4">
                  <c:v>4894</c:v>
                </c:pt>
                <c:pt idx="5">
                  <c:v>4661</c:v>
                </c:pt>
                <c:pt idx="6">
                  <c:v>5572</c:v>
                </c:pt>
                <c:pt idx="7">
                  <c:v>5045</c:v>
                </c:pt>
                <c:pt idx="8">
                  <c:v>4893</c:v>
                </c:pt>
                <c:pt idx="9">
                  <c:v>5351</c:v>
                </c:pt>
                <c:pt idx="10">
                  <c:v>4882</c:v>
                </c:pt>
                <c:pt idx="11">
                  <c:v>5390</c:v>
                </c:pt>
                <c:pt idx="12">
                  <c:v>5002</c:v>
                </c:pt>
                <c:pt idx="13">
                  <c:v>4899</c:v>
                </c:pt>
                <c:pt idx="14">
                  <c:v>4678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97255936"/>
        <c:axId val="197257472"/>
      </c:barChart>
      <c:dateAx>
        <c:axId val="197255936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crossAx val="197257472"/>
        <c:crosses val="autoZero"/>
        <c:auto val="1"/>
        <c:lblOffset val="100"/>
        <c:baseTimeUnit val="days"/>
      </c:dateAx>
      <c:valAx>
        <c:axId val="19725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9725593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登录人数分布情况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条形图!$H$1:$K$1</c:f>
              <c:strCache>
                <c:ptCount val="4"/>
                <c:pt idx="0">
                  <c:v>qq登陆人数</c:v>
                </c:pt>
                <c:pt idx="1">
                  <c:v>微博登陆人数</c:v>
                </c:pt>
                <c:pt idx="2">
                  <c:v>微信登陆人数</c:v>
                </c:pt>
                <c:pt idx="3">
                  <c:v>手机登陆人数</c:v>
                </c:pt>
              </c:strCache>
            </c:strRef>
          </c:cat>
          <c:val>
            <c:numRef>
              <c:f>条形图!$H$2:$K$2</c:f>
              <c:numCache>
                <c:formatCode>General</c:formatCode>
                <c:ptCount val="4"/>
                <c:pt idx="0">
                  <c:v>228</c:v>
                </c:pt>
                <c:pt idx="1">
                  <c:v>34</c:v>
                </c:pt>
                <c:pt idx="2">
                  <c:v>663</c:v>
                </c:pt>
                <c:pt idx="3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556096"/>
        <c:axId val="197557632"/>
      </c:barChart>
      <c:catAx>
        <c:axId val="197556096"/>
        <c:scaling>
          <c:orientation val="minMax"/>
        </c:scaling>
        <c:delete val="0"/>
        <c:axPos val="l"/>
        <c:majorTickMark val="out"/>
        <c:minorTickMark val="none"/>
        <c:tickLblPos val="nextTo"/>
        <c:crossAx val="197557632"/>
        <c:crosses val="autoZero"/>
        <c:auto val="1"/>
        <c:lblAlgn val="ctr"/>
        <c:lblOffset val="100"/>
        <c:noMultiLvlLbl val="0"/>
      </c:catAx>
      <c:valAx>
        <c:axId val="19755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5560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投资人数走势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折线图!$C$1</c:f>
              <c:strCache>
                <c:ptCount val="1"/>
                <c:pt idx="0">
                  <c:v>app投资人数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折线图!$B$2:$B$16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折线图!$C$2:$C$16</c:f>
              <c:numCache>
                <c:formatCode>General</c:formatCode>
                <c:ptCount val="15"/>
                <c:pt idx="0">
                  <c:v>3078</c:v>
                </c:pt>
                <c:pt idx="1">
                  <c:v>3844</c:v>
                </c:pt>
                <c:pt idx="2">
                  <c:v>3348</c:v>
                </c:pt>
                <c:pt idx="3">
                  <c:v>3254</c:v>
                </c:pt>
                <c:pt idx="4">
                  <c:v>3259</c:v>
                </c:pt>
                <c:pt idx="5">
                  <c:v>3750</c:v>
                </c:pt>
                <c:pt idx="6">
                  <c:v>4011</c:v>
                </c:pt>
                <c:pt idx="7">
                  <c:v>3739</c:v>
                </c:pt>
                <c:pt idx="8">
                  <c:v>3399</c:v>
                </c:pt>
                <c:pt idx="9">
                  <c:v>4006</c:v>
                </c:pt>
                <c:pt idx="10">
                  <c:v>3825</c:v>
                </c:pt>
                <c:pt idx="11">
                  <c:v>3432</c:v>
                </c:pt>
                <c:pt idx="12">
                  <c:v>3944</c:v>
                </c:pt>
                <c:pt idx="13">
                  <c:v>3338</c:v>
                </c:pt>
                <c:pt idx="14">
                  <c:v>3603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折线图!$D$1</c:f>
              <c:strCache>
                <c:ptCount val="1"/>
                <c:pt idx="0">
                  <c:v>pc投资人数</c:v>
                </c:pt>
              </c:strCache>
            </c:strRef>
          </c:tx>
          <c:spPr>
            <a:ln w="381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折线图!$B$2:$B$16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折线图!$D$2:$D$16</c:f>
              <c:numCache>
                <c:formatCode>General</c:formatCode>
                <c:ptCount val="15"/>
                <c:pt idx="0">
                  <c:v>4590</c:v>
                </c:pt>
                <c:pt idx="1">
                  <c:v>5587</c:v>
                </c:pt>
                <c:pt idx="2">
                  <c:v>5526</c:v>
                </c:pt>
                <c:pt idx="3">
                  <c:v>5228</c:v>
                </c:pt>
                <c:pt idx="4">
                  <c:v>4894</c:v>
                </c:pt>
                <c:pt idx="5">
                  <c:v>4661</c:v>
                </c:pt>
                <c:pt idx="6">
                  <c:v>5572</c:v>
                </c:pt>
                <c:pt idx="7">
                  <c:v>5045</c:v>
                </c:pt>
                <c:pt idx="8">
                  <c:v>4893</c:v>
                </c:pt>
                <c:pt idx="9">
                  <c:v>5351</c:v>
                </c:pt>
                <c:pt idx="10">
                  <c:v>4882</c:v>
                </c:pt>
                <c:pt idx="11">
                  <c:v>5390</c:v>
                </c:pt>
                <c:pt idx="12">
                  <c:v>5002</c:v>
                </c:pt>
                <c:pt idx="13">
                  <c:v>4899</c:v>
                </c:pt>
                <c:pt idx="14">
                  <c:v>4678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50528"/>
        <c:axId val="197489408"/>
      </c:lineChart>
      <c:dateAx>
        <c:axId val="64150528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crossAx val="197489408"/>
        <c:crosses val="autoZero"/>
        <c:auto val="1"/>
        <c:lblOffset val="100"/>
        <c:baseTimeUnit val="days"/>
      </c:dateAx>
      <c:valAx>
        <c:axId val="197489408"/>
        <c:scaling>
          <c:orientation val="minMax"/>
          <c:max val="6000"/>
          <c:min val="2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64150528"/>
        <c:crosses val="autoZero"/>
        <c:crossBetween val="between"/>
        <c:majorUnit val="500"/>
      </c:valAx>
      <c:spPr>
        <a:pattFill prst="weave">
          <a:fgClr>
            <a:schemeClr val="accent6">
              <a:lumMod val="40000"/>
              <a:lumOff val="60000"/>
            </a:schemeClr>
          </a:fgClr>
          <a:bgClr>
            <a:schemeClr val="bg1"/>
          </a:bgClr>
        </a:pattFill>
      </c:spPr>
    </c:plotArea>
    <c:legend>
      <c:legendPos val="b"/>
      <c:layout/>
      <c:overlay val="0"/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登录分布情况</a:t>
            </a:r>
          </a:p>
        </c:rich>
      </c:tx>
      <c:layout/>
      <c:overlay val="0"/>
    </c:title>
    <c:autoTitleDeleted val="0"/>
    <c:view3D>
      <c:rotX val="5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饼图!$G$1:$J$1</c:f>
              <c:strCache>
                <c:ptCount val="4"/>
                <c:pt idx="0">
                  <c:v>qq登陆人数</c:v>
                </c:pt>
                <c:pt idx="1">
                  <c:v>微博登陆人数</c:v>
                </c:pt>
                <c:pt idx="2">
                  <c:v>微信登陆人数</c:v>
                </c:pt>
                <c:pt idx="3">
                  <c:v>手机登陆人数</c:v>
                </c:pt>
              </c:strCache>
            </c:strRef>
          </c:cat>
          <c:val>
            <c:numRef>
              <c:f>饼图!$G$2:$J$2</c:f>
              <c:numCache>
                <c:formatCode>General</c:formatCode>
                <c:ptCount val="4"/>
                <c:pt idx="0">
                  <c:v>228</c:v>
                </c:pt>
                <c:pt idx="1">
                  <c:v>34</c:v>
                </c:pt>
                <c:pt idx="2">
                  <c:v>663</c:v>
                </c:pt>
                <c:pt idx="3">
                  <c:v>41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饼图!$C$13</c:f>
              <c:strCache>
                <c:ptCount val="1"/>
                <c:pt idx="0">
                  <c:v>销售数量</c:v>
                </c:pt>
              </c:strCache>
            </c:strRef>
          </c:tx>
          <c:dLbls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饼图!$B$14:$B$19</c:f>
              <c:strCache>
                <c:ptCount val="6"/>
                <c:pt idx="0">
                  <c:v>渠道1</c:v>
                </c:pt>
                <c:pt idx="1">
                  <c:v>渠道2</c:v>
                </c:pt>
                <c:pt idx="2">
                  <c:v>渠道3</c:v>
                </c:pt>
                <c:pt idx="3">
                  <c:v>渠道4</c:v>
                </c:pt>
                <c:pt idx="4">
                  <c:v>渠道5</c:v>
                </c:pt>
                <c:pt idx="5">
                  <c:v>渠道6</c:v>
                </c:pt>
              </c:strCache>
            </c:strRef>
          </c:cat>
          <c:val>
            <c:numRef>
              <c:f>饼图!$C$14:$C$19</c:f>
              <c:numCache>
                <c:formatCode>General</c:formatCode>
                <c:ptCount val="6"/>
                <c:pt idx="0">
                  <c:v>300</c:v>
                </c:pt>
                <c:pt idx="1">
                  <c:v>500</c:v>
                </c:pt>
                <c:pt idx="2">
                  <c:v>600</c:v>
                </c:pt>
                <c:pt idx="3">
                  <c:v>15</c:v>
                </c:pt>
                <c:pt idx="4">
                  <c:v>10</c:v>
                </c:pt>
                <c:pt idx="5">
                  <c:v>25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3"/>
        <c:secondPieSize val="75"/>
        <c:serLines/>
      </c:of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投资人数走势图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美化图表!$C$1</c:f>
              <c:strCache>
                <c:ptCount val="1"/>
                <c:pt idx="0">
                  <c:v>app投资人数</c:v>
                </c:pt>
              </c:strCache>
            </c:strRef>
          </c:tx>
          <c:spPr>
            <a:ln w="38100"/>
          </c:spPr>
          <c:marker>
            <c:symbol val="none"/>
          </c:marker>
          <c:cat>
            <c:numRef>
              <c:f>美化图表!$B$2:$B$16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美化图表!$C$2:$C$16</c:f>
              <c:numCache>
                <c:formatCode>General</c:formatCode>
                <c:ptCount val="15"/>
                <c:pt idx="0">
                  <c:v>3078</c:v>
                </c:pt>
                <c:pt idx="1">
                  <c:v>3844</c:v>
                </c:pt>
                <c:pt idx="2">
                  <c:v>3348</c:v>
                </c:pt>
                <c:pt idx="3">
                  <c:v>3254</c:v>
                </c:pt>
                <c:pt idx="4">
                  <c:v>3259</c:v>
                </c:pt>
                <c:pt idx="5">
                  <c:v>3750</c:v>
                </c:pt>
                <c:pt idx="6">
                  <c:v>4011</c:v>
                </c:pt>
                <c:pt idx="7">
                  <c:v>3739</c:v>
                </c:pt>
                <c:pt idx="8">
                  <c:v>3399</c:v>
                </c:pt>
                <c:pt idx="9">
                  <c:v>4006</c:v>
                </c:pt>
                <c:pt idx="10">
                  <c:v>3825</c:v>
                </c:pt>
                <c:pt idx="11">
                  <c:v>3432</c:v>
                </c:pt>
                <c:pt idx="12">
                  <c:v>3944</c:v>
                </c:pt>
                <c:pt idx="13">
                  <c:v>3338</c:v>
                </c:pt>
                <c:pt idx="14">
                  <c:v>3603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美化图表!$D$1</c:f>
              <c:strCache>
                <c:ptCount val="1"/>
                <c:pt idx="0">
                  <c:v>pc投资人数</c:v>
                </c:pt>
              </c:strCache>
            </c:strRef>
          </c:tx>
          <c:spPr>
            <a:ln w="3810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美化图表!$B$2:$B$16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美化图表!$D$2:$D$16</c:f>
              <c:numCache>
                <c:formatCode>General</c:formatCode>
                <c:ptCount val="15"/>
                <c:pt idx="0">
                  <c:v>4590</c:v>
                </c:pt>
                <c:pt idx="1">
                  <c:v>5587</c:v>
                </c:pt>
                <c:pt idx="2">
                  <c:v>5526</c:v>
                </c:pt>
                <c:pt idx="3">
                  <c:v>5228</c:v>
                </c:pt>
                <c:pt idx="4">
                  <c:v>4894</c:v>
                </c:pt>
                <c:pt idx="5">
                  <c:v>4661</c:v>
                </c:pt>
                <c:pt idx="6">
                  <c:v>5572</c:v>
                </c:pt>
                <c:pt idx="7">
                  <c:v>5045</c:v>
                </c:pt>
                <c:pt idx="8">
                  <c:v>4893</c:v>
                </c:pt>
                <c:pt idx="9">
                  <c:v>5351</c:v>
                </c:pt>
                <c:pt idx="10">
                  <c:v>4882</c:v>
                </c:pt>
                <c:pt idx="11">
                  <c:v>5390</c:v>
                </c:pt>
                <c:pt idx="12">
                  <c:v>5002</c:v>
                </c:pt>
                <c:pt idx="13">
                  <c:v>4899</c:v>
                </c:pt>
                <c:pt idx="14">
                  <c:v>4678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46464"/>
        <c:axId val="62848000"/>
      </c:lineChart>
      <c:dateAx>
        <c:axId val="62846464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crossAx val="62848000"/>
        <c:crosses val="autoZero"/>
        <c:auto val="1"/>
        <c:lblOffset val="100"/>
        <c:baseTimeUnit val="days"/>
      </c:dateAx>
      <c:valAx>
        <c:axId val="62848000"/>
        <c:scaling>
          <c:orientation val="minMax"/>
          <c:min val="25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62846464"/>
        <c:crosses val="autoZero"/>
        <c:crossBetween val="between"/>
        <c:majorUnit val="500"/>
      </c:valAx>
      <c:spPr>
        <a:pattFill prst="weave">
          <a:fgClr>
            <a:schemeClr val="accent6">
              <a:lumMod val="40000"/>
              <a:lumOff val="60000"/>
            </a:schemeClr>
          </a:fgClr>
          <a:bgClr>
            <a:schemeClr val="bg1"/>
          </a:bgClr>
        </a:pattFill>
      </c:spPr>
    </c:plotArea>
    <c:legend>
      <c:legendPos val="b"/>
      <c:layout/>
      <c:overlay val="0"/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</c:spPr>
          <c:invertIfNegative val="0"/>
          <c:cat>
            <c:strRef>
              <c:f>漏斗图!$J$2:$J$6</c:f>
              <c:strCache>
                <c:ptCount val="5"/>
                <c:pt idx="0">
                  <c:v>注册</c:v>
                </c:pt>
                <c:pt idx="1">
                  <c:v>托管</c:v>
                </c:pt>
                <c:pt idx="2">
                  <c:v>充值</c:v>
                </c:pt>
                <c:pt idx="3">
                  <c:v>投资</c:v>
                </c:pt>
                <c:pt idx="4">
                  <c:v>复投</c:v>
                </c:pt>
              </c:strCache>
            </c:strRef>
          </c:cat>
          <c:val>
            <c:numRef>
              <c:f>漏斗图!$K$2:$K$6</c:f>
              <c:numCache>
                <c:formatCode>0_);[Red]\(0\)</c:formatCode>
                <c:ptCount val="5"/>
                <c:pt idx="0">
                  <c:v>500</c:v>
                </c:pt>
                <c:pt idx="1">
                  <c:v>5649.5</c:v>
                </c:pt>
                <c:pt idx="2">
                  <c:v>10833.5</c:v>
                </c:pt>
                <c:pt idx="3">
                  <c:v>19959.5</c:v>
                </c:pt>
                <c:pt idx="4">
                  <c:v>20496</c:v>
                </c:pt>
              </c:numCache>
            </c:numRef>
          </c:val>
        </c:ser>
        <c:ser>
          <c:idx val="1"/>
          <c:order val="1"/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</c:spPr>
          </c:dPt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漏斗图!$J$2:$J$6</c:f>
              <c:strCache>
                <c:ptCount val="5"/>
                <c:pt idx="0">
                  <c:v>注册</c:v>
                </c:pt>
                <c:pt idx="1">
                  <c:v>托管</c:v>
                </c:pt>
                <c:pt idx="2">
                  <c:v>充值</c:v>
                </c:pt>
                <c:pt idx="3">
                  <c:v>投资</c:v>
                </c:pt>
                <c:pt idx="4">
                  <c:v>复投</c:v>
                </c:pt>
              </c:strCache>
            </c:strRef>
          </c:cat>
          <c:val>
            <c:numRef>
              <c:f>漏斗图!$L$2:$L$6</c:f>
              <c:numCache>
                <c:formatCode>0_);[Red]\(0\)</c:formatCode>
                <c:ptCount val="5"/>
                <c:pt idx="0">
                  <c:v>44147</c:v>
                </c:pt>
                <c:pt idx="1">
                  <c:v>33848</c:v>
                </c:pt>
                <c:pt idx="2">
                  <c:v>23480</c:v>
                </c:pt>
                <c:pt idx="3">
                  <c:v>5228</c:v>
                </c:pt>
                <c:pt idx="4">
                  <c:v>4155</c:v>
                </c:pt>
              </c:numCache>
            </c:numRef>
          </c:val>
        </c:ser>
        <c:ser>
          <c:idx val="2"/>
          <c:order val="2"/>
          <c:spPr>
            <a:noFill/>
          </c:spPr>
          <c:invertIfNegative val="0"/>
          <c:cat>
            <c:strRef>
              <c:f>漏斗图!$J$2:$J$6</c:f>
              <c:strCache>
                <c:ptCount val="5"/>
                <c:pt idx="0">
                  <c:v>注册</c:v>
                </c:pt>
                <c:pt idx="1">
                  <c:v>托管</c:v>
                </c:pt>
                <c:pt idx="2">
                  <c:v>充值</c:v>
                </c:pt>
                <c:pt idx="3">
                  <c:v>投资</c:v>
                </c:pt>
                <c:pt idx="4">
                  <c:v>复投</c:v>
                </c:pt>
              </c:strCache>
            </c:strRef>
          </c:cat>
          <c:val>
            <c:numRef>
              <c:f>漏斗图!$M$2:$M$6</c:f>
              <c:numCache>
                <c:formatCode>0_);[Red]\(0\)</c:formatCode>
                <c:ptCount val="5"/>
                <c:pt idx="0">
                  <c:v>500</c:v>
                </c:pt>
                <c:pt idx="1">
                  <c:v>5649.5</c:v>
                </c:pt>
                <c:pt idx="2">
                  <c:v>10833.5</c:v>
                </c:pt>
                <c:pt idx="3">
                  <c:v>19959.5</c:v>
                </c:pt>
                <c:pt idx="4">
                  <c:v>20496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40419968"/>
        <c:axId val="240422272"/>
      </c:barChart>
      <c:catAx>
        <c:axId val="240419968"/>
        <c:scaling>
          <c:orientation val="maxMin"/>
        </c:scaling>
        <c:delete val="0"/>
        <c:axPos val="l"/>
        <c:majorTickMark val="out"/>
        <c:minorTickMark val="none"/>
        <c:tickLblPos val="nextTo"/>
        <c:crossAx val="240422272"/>
        <c:crosses val="autoZero"/>
        <c:auto val="1"/>
        <c:lblAlgn val="ctr"/>
        <c:lblOffset val="100"/>
        <c:noMultiLvlLbl val="0"/>
      </c:catAx>
      <c:valAx>
        <c:axId val="240422272"/>
        <c:scaling>
          <c:orientation val="minMax"/>
        </c:scaling>
        <c:delete val="1"/>
        <c:axPos val="t"/>
        <c:numFmt formatCode="0_);[Red]\(0\)" sourceLinked="1"/>
        <c:majorTickMark val="out"/>
        <c:minorTickMark val="none"/>
        <c:tickLblPos val="nextTo"/>
        <c:crossAx val="240419968"/>
        <c:crosses val="autoZero"/>
        <c:crossBetween val="between"/>
      </c:valAx>
      <c:spPr>
        <a:pattFill prst="wdUpDiag">
          <a:fgClr>
            <a:schemeClr val="accent6">
              <a:lumMod val="20000"/>
              <a:lumOff val="80000"/>
            </a:schemeClr>
          </a:fgClr>
          <a:bgClr>
            <a:schemeClr val="bg1"/>
          </a:bgClr>
        </a:pattFill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</c:spPr>
          <c:invertIfNegative val="0"/>
          <c:cat>
            <c:strRef>
              <c:f>'漏斗图-原始'!$I$2:$I$6</c:f>
              <c:strCache>
                <c:ptCount val="5"/>
                <c:pt idx="0">
                  <c:v>注册</c:v>
                </c:pt>
                <c:pt idx="1">
                  <c:v>托管</c:v>
                </c:pt>
                <c:pt idx="2">
                  <c:v>充值</c:v>
                </c:pt>
                <c:pt idx="3">
                  <c:v>投资</c:v>
                </c:pt>
                <c:pt idx="4">
                  <c:v>复投</c:v>
                </c:pt>
              </c:strCache>
            </c:strRef>
          </c:cat>
          <c:val>
            <c:numRef>
              <c:f>'漏斗图-原始'!$J$2:$J$6</c:f>
              <c:numCache>
                <c:formatCode>0_);[Red]\(0\)</c:formatCode>
                <c:ptCount val="5"/>
                <c:pt idx="0">
                  <c:v>500</c:v>
                </c:pt>
                <c:pt idx="1">
                  <c:v>5649.5</c:v>
                </c:pt>
                <c:pt idx="2">
                  <c:v>10833.5</c:v>
                </c:pt>
                <c:pt idx="3">
                  <c:v>19959.5</c:v>
                </c:pt>
                <c:pt idx="4">
                  <c:v>20496</c:v>
                </c:pt>
              </c:numCache>
            </c:numRef>
          </c:val>
        </c:ser>
        <c:ser>
          <c:idx val="1"/>
          <c:order val="1"/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'漏斗图-原始'!$I$2:$I$6</c:f>
              <c:strCache>
                <c:ptCount val="5"/>
                <c:pt idx="0">
                  <c:v>注册</c:v>
                </c:pt>
                <c:pt idx="1">
                  <c:v>托管</c:v>
                </c:pt>
                <c:pt idx="2">
                  <c:v>充值</c:v>
                </c:pt>
                <c:pt idx="3">
                  <c:v>投资</c:v>
                </c:pt>
                <c:pt idx="4">
                  <c:v>复投</c:v>
                </c:pt>
              </c:strCache>
            </c:strRef>
          </c:cat>
          <c:val>
            <c:numRef>
              <c:f>'漏斗图-原始'!$K$2:$K$6</c:f>
              <c:numCache>
                <c:formatCode>0_);[Red]\(0\)</c:formatCode>
                <c:ptCount val="5"/>
                <c:pt idx="0">
                  <c:v>44147</c:v>
                </c:pt>
                <c:pt idx="1">
                  <c:v>33848</c:v>
                </c:pt>
                <c:pt idx="2">
                  <c:v>23480</c:v>
                </c:pt>
                <c:pt idx="3">
                  <c:v>5228</c:v>
                </c:pt>
                <c:pt idx="4">
                  <c:v>4155</c:v>
                </c:pt>
              </c:numCache>
            </c:numRef>
          </c:val>
        </c:ser>
        <c:ser>
          <c:idx val="2"/>
          <c:order val="2"/>
          <c:spPr>
            <a:noFill/>
          </c:spPr>
          <c:invertIfNegative val="0"/>
          <c:cat>
            <c:strRef>
              <c:f>'漏斗图-原始'!$I$2:$I$6</c:f>
              <c:strCache>
                <c:ptCount val="5"/>
                <c:pt idx="0">
                  <c:v>注册</c:v>
                </c:pt>
                <c:pt idx="1">
                  <c:v>托管</c:v>
                </c:pt>
                <c:pt idx="2">
                  <c:v>充值</c:v>
                </c:pt>
                <c:pt idx="3">
                  <c:v>投资</c:v>
                </c:pt>
                <c:pt idx="4">
                  <c:v>复投</c:v>
                </c:pt>
              </c:strCache>
            </c:strRef>
          </c:cat>
          <c:val>
            <c:numRef>
              <c:f>'漏斗图-原始'!$L$2:$L$6</c:f>
              <c:numCache>
                <c:formatCode>0_);[Red]\(0\)</c:formatCode>
                <c:ptCount val="5"/>
                <c:pt idx="0">
                  <c:v>500</c:v>
                </c:pt>
                <c:pt idx="1">
                  <c:v>5649.5</c:v>
                </c:pt>
                <c:pt idx="2">
                  <c:v>10833.5</c:v>
                </c:pt>
                <c:pt idx="3">
                  <c:v>19959.5</c:v>
                </c:pt>
                <c:pt idx="4">
                  <c:v>20496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8720896"/>
        <c:axId val="198734976"/>
      </c:barChart>
      <c:catAx>
        <c:axId val="198720896"/>
        <c:scaling>
          <c:orientation val="maxMin"/>
        </c:scaling>
        <c:delete val="0"/>
        <c:axPos val="l"/>
        <c:majorTickMark val="out"/>
        <c:minorTickMark val="none"/>
        <c:tickLblPos val="nextTo"/>
        <c:crossAx val="198734976"/>
        <c:crosses val="autoZero"/>
        <c:auto val="1"/>
        <c:lblAlgn val="ctr"/>
        <c:lblOffset val="100"/>
        <c:noMultiLvlLbl val="0"/>
      </c:catAx>
      <c:valAx>
        <c:axId val="198734976"/>
        <c:scaling>
          <c:orientation val="minMax"/>
        </c:scaling>
        <c:delete val="1"/>
        <c:axPos val="t"/>
        <c:numFmt formatCode="0_);[Red]\(0\)" sourceLinked="1"/>
        <c:majorTickMark val="out"/>
        <c:minorTickMark val="none"/>
        <c:tickLblPos val="nextTo"/>
        <c:crossAx val="198720896"/>
        <c:crosses val="autoZero"/>
        <c:crossBetween val="between"/>
      </c:valAx>
      <c:spPr>
        <a:pattFill prst="wdUpDiag">
          <a:fgClr>
            <a:schemeClr val="accent6">
              <a:lumMod val="20000"/>
              <a:lumOff val="80000"/>
            </a:schemeClr>
          </a:fgClr>
          <a:bgClr>
            <a:schemeClr val="bg1"/>
          </a:bgClr>
        </a:pattFill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4"/>
          <c:order val="0"/>
          <c:tx>
            <c:strRef>
              <c:f>'漏斗图-原始'!$R$6</c:f>
              <c:strCache>
                <c:ptCount val="1"/>
                <c:pt idx="0">
                  <c:v>复投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</c:dPt>
          <c:dPt>
            <c:idx val="1"/>
            <c:bubble3D val="0"/>
            <c:spPr>
              <a:noFill/>
            </c:spPr>
          </c:dPt>
          <c:cat>
            <c:strRef>
              <c:f>'漏斗图-原始'!$S$1:$T$1</c:f>
              <c:strCache>
                <c:ptCount val="2"/>
                <c:pt idx="0">
                  <c:v>展示列</c:v>
                </c:pt>
                <c:pt idx="1">
                  <c:v>辅助列</c:v>
                </c:pt>
              </c:strCache>
            </c:strRef>
          </c:cat>
          <c:val>
            <c:numRef>
              <c:f>'漏斗图-原始'!$S$6:$T$6</c:f>
              <c:numCache>
                <c:formatCode>0_);[Red]\(0\)</c:formatCode>
                <c:ptCount val="2"/>
                <c:pt idx="0">
                  <c:v>4155</c:v>
                </c:pt>
                <c:pt idx="1">
                  <c:v>40992</c:v>
                </c:pt>
              </c:numCache>
            </c:numRef>
          </c:val>
        </c:ser>
        <c:ser>
          <c:idx val="3"/>
          <c:order val="1"/>
          <c:tx>
            <c:strRef>
              <c:f>'漏斗图-原始'!$R$5</c:f>
              <c:strCache>
                <c:ptCount val="1"/>
                <c:pt idx="0">
                  <c:v>投资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dPt>
            <c:idx val="1"/>
            <c:bubble3D val="0"/>
            <c:spPr>
              <a:noFill/>
            </c:spPr>
          </c:dPt>
          <c:cat>
            <c:strRef>
              <c:f>'漏斗图-原始'!$S$1:$T$1</c:f>
              <c:strCache>
                <c:ptCount val="2"/>
                <c:pt idx="0">
                  <c:v>展示列</c:v>
                </c:pt>
                <c:pt idx="1">
                  <c:v>辅助列</c:v>
                </c:pt>
              </c:strCache>
            </c:strRef>
          </c:cat>
          <c:val>
            <c:numRef>
              <c:f>'漏斗图-原始'!$S$5:$T$5</c:f>
              <c:numCache>
                <c:formatCode>0_);[Red]\(0\)</c:formatCode>
                <c:ptCount val="2"/>
                <c:pt idx="0">
                  <c:v>5228</c:v>
                </c:pt>
                <c:pt idx="1">
                  <c:v>39919</c:v>
                </c:pt>
              </c:numCache>
            </c:numRef>
          </c:val>
        </c:ser>
        <c:ser>
          <c:idx val="2"/>
          <c:order val="2"/>
          <c:tx>
            <c:strRef>
              <c:f>'漏斗图-原始'!$R$4</c:f>
              <c:strCache>
                <c:ptCount val="1"/>
                <c:pt idx="0">
                  <c:v>充值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1"/>
            <c:bubble3D val="0"/>
            <c:spPr>
              <a:noFill/>
            </c:spPr>
          </c:dPt>
          <c:cat>
            <c:strRef>
              <c:f>'漏斗图-原始'!$S$1:$T$1</c:f>
              <c:strCache>
                <c:ptCount val="2"/>
                <c:pt idx="0">
                  <c:v>展示列</c:v>
                </c:pt>
                <c:pt idx="1">
                  <c:v>辅助列</c:v>
                </c:pt>
              </c:strCache>
            </c:strRef>
          </c:cat>
          <c:val>
            <c:numRef>
              <c:f>'漏斗图-原始'!$S$4:$T$4</c:f>
              <c:numCache>
                <c:formatCode>0_);[Red]\(0\)</c:formatCode>
                <c:ptCount val="2"/>
                <c:pt idx="0">
                  <c:v>23480</c:v>
                </c:pt>
                <c:pt idx="1">
                  <c:v>21667</c:v>
                </c:pt>
              </c:numCache>
            </c:numRef>
          </c:val>
        </c:ser>
        <c:ser>
          <c:idx val="1"/>
          <c:order val="3"/>
          <c:tx>
            <c:strRef>
              <c:f>'漏斗图-原始'!$R$3</c:f>
              <c:strCache>
                <c:ptCount val="1"/>
                <c:pt idx="0">
                  <c:v>托管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1"/>
            <c:bubble3D val="0"/>
            <c:spPr>
              <a:noFill/>
            </c:spPr>
          </c:dPt>
          <c:cat>
            <c:strRef>
              <c:f>'漏斗图-原始'!$S$1:$T$1</c:f>
              <c:strCache>
                <c:ptCount val="2"/>
                <c:pt idx="0">
                  <c:v>展示列</c:v>
                </c:pt>
                <c:pt idx="1">
                  <c:v>辅助列</c:v>
                </c:pt>
              </c:strCache>
            </c:strRef>
          </c:cat>
          <c:val>
            <c:numRef>
              <c:f>'漏斗图-原始'!$S$3:$T$3</c:f>
              <c:numCache>
                <c:formatCode>0_);[Red]\(0\)</c:formatCode>
                <c:ptCount val="2"/>
                <c:pt idx="0">
                  <c:v>33848</c:v>
                </c:pt>
                <c:pt idx="1">
                  <c:v>11299</c:v>
                </c:pt>
              </c:numCache>
            </c:numRef>
          </c:val>
        </c:ser>
        <c:ser>
          <c:idx val="0"/>
          <c:order val="4"/>
          <c:tx>
            <c:strRef>
              <c:f>'漏斗图-原始'!$R$2</c:f>
              <c:strCache>
                <c:ptCount val="1"/>
                <c:pt idx="0">
                  <c:v>注册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</c:spPr>
          </c:dPt>
          <c:dPt>
            <c:idx val="1"/>
            <c:bubble3D val="0"/>
            <c:spPr>
              <a:noFill/>
            </c:spPr>
          </c:dPt>
          <c:cat>
            <c:strRef>
              <c:f>'漏斗图-原始'!$S$1:$T$1</c:f>
              <c:strCache>
                <c:ptCount val="2"/>
                <c:pt idx="0">
                  <c:v>展示列</c:v>
                </c:pt>
                <c:pt idx="1">
                  <c:v>辅助列</c:v>
                </c:pt>
              </c:strCache>
            </c:strRef>
          </c:cat>
          <c:val>
            <c:numRef>
              <c:f>'漏斗图-原始'!$S$2:$T$2</c:f>
              <c:numCache>
                <c:formatCode>0_);[Red]\(0\)</c:formatCode>
                <c:ptCount val="2"/>
                <c:pt idx="0">
                  <c:v>44147</c:v>
                </c:pt>
                <c:pt idx="1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充值金额和投资金额的关系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散点图!$C$2:$C$25</c:f>
              <c:numCache>
                <c:formatCode>General</c:formatCode>
                <c:ptCount val="24"/>
                <c:pt idx="0">
                  <c:v>2326</c:v>
                </c:pt>
                <c:pt idx="1">
                  <c:v>1710</c:v>
                </c:pt>
                <c:pt idx="2">
                  <c:v>3747</c:v>
                </c:pt>
                <c:pt idx="3">
                  <c:v>1170</c:v>
                </c:pt>
                <c:pt idx="4">
                  <c:v>582</c:v>
                </c:pt>
                <c:pt idx="5">
                  <c:v>5796</c:v>
                </c:pt>
                <c:pt idx="6">
                  <c:v>9813</c:v>
                </c:pt>
                <c:pt idx="7">
                  <c:v>1528</c:v>
                </c:pt>
                <c:pt idx="8">
                  <c:v>2352</c:v>
                </c:pt>
                <c:pt idx="9">
                  <c:v>5263</c:v>
                </c:pt>
                <c:pt idx="10">
                  <c:v>6020</c:v>
                </c:pt>
                <c:pt idx="11">
                  <c:v>9677</c:v>
                </c:pt>
                <c:pt idx="12">
                  <c:v>6330</c:v>
                </c:pt>
                <c:pt idx="13">
                  <c:v>5154</c:v>
                </c:pt>
                <c:pt idx="14">
                  <c:v>5768</c:v>
                </c:pt>
                <c:pt idx="15">
                  <c:v>5995</c:v>
                </c:pt>
                <c:pt idx="16">
                  <c:v>2097</c:v>
                </c:pt>
                <c:pt idx="17">
                  <c:v>9652</c:v>
                </c:pt>
                <c:pt idx="18">
                  <c:v>7139</c:v>
                </c:pt>
                <c:pt idx="19">
                  <c:v>5662</c:v>
                </c:pt>
                <c:pt idx="20">
                  <c:v>9395</c:v>
                </c:pt>
                <c:pt idx="21">
                  <c:v>4351</c:v>
                </c:pt>
                <c:pt idx="22">
                  <c:v>9382</c:v>
                </c:pt>
                <c:pt idx="23">
                  <c:v>81</c:v>
                </c:pt>
              </c:numCache>
            </c:numRef>
          </c:xVal>
          <c:yVal>
            <c:numRef>
              <c:f>散点图!$D$2:$D$25</c:f>
              <c:numCache>
                <c:formatCode>General</c:formatCode>
                <c:ptCount val="24"/>
                <c:pt idx="0">
                  <c:v>4112</c:v>
                </c:pt>
                <c:pt idx="1">
                  <c:v>6746</c:v>
                </c:pt>
                <c:pt idx="2">
                  <c:v>5583</c:v>
                </c:pt>
                <c:pt idx="3">
                  <c:v>5057</c:v>
                </c:pt>
                <c:pt idx="4">
                  <c:v>7725</c:v>
                </c:pt>
                <c:pt idx="5">
                  <c:v>844</c:v>
                </c:pt>
                <c:pt idx="6">
                  <c:v>6117</c:v>
                </c:pt>
                <c:pt idx="7">
                  <c:v>6151</c:v>
                </c:pt>
                <c:pt idx="8">
                  <c:v>723</c:v>
                </c:pt>
                <c:pt idx="9">
                  <c:v>6655</c:v>
                </c:pt>
                <c:pt idx="10">
                  <c:v>5600</c:v>
                </c:pt>
                <c:pt idx="11">
                  <c:v>2736</c:v>
                </c:pt>
                <c:pt idx="12">
                  <c:v>5641</c:v>
                </c:pt>
                <c:pt idx="13">
                  <c:v>7517</c:v>
                </c:pt>
                <c:pt idx="14">
                  <c:v>3950</c:v>
                </c:pt>
                <c:pt idx="15">
                  <c:v>3824</c:v>
                </c:pt>
                <c:pt idx="16">
                  <c:v>3864</c:v>
                </c:pt>
                <c:pt idx="17">
                  <c:v>9444</c:v>
                </c:pt>
                <c:pt idx="18">
                  <c:v>4406</c:v>
                </c:pt>
                <c:pt idx="19">
                  <c:v>6941</c:v>
                </c:pt>
                <c:pt idx="20">
                  <c:v>5333</c:v>
                </c:pt>
                <c:pt idx="21">
                  <c:v>1548</c:v>
                </c:pt>
                <c:pt idx="22">
                  <c:v>7504</c:v>
                </c:pt>
                <c:pt idx="23">
                  <c:v>9087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284800"/>
        <c:axId val="238891776"/>
      </c:scatterChart>
      <c:valAx>
        <c:axId val="2402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891776"/>
        <c:crosses val="autoZero"/>
        <c:crossBetween val="midCat"/>
      </c:valAx>
      <c:valAx>
        <c:axId val="238891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40284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面积图!$C$1</c:f>
              <c:strCache>
                <c:ptCount val="1"/>
                <c:pt idx="0">
                  <c:v>app投资人数</c:v>
                </c:pt>
              </c:strCache>
            </c:strRef>
          </c:tx>
          <c:cat>
            <c:numRef>
              <c:f>面积图!$B$2:$B$16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面积图!$C$2:$C$16</c:f>
              <c:numCache>
                <c:formatCode>General</c:formatCode>
                <c:ptCount val="15"/>
                <c:pt idx="0">
                  <c:v>3078</c:v>
                </c:pt>
                <c:pt idx="1">
                  <c:v>3844</c:v>
                </c:pt>
                <c:pt idx="2">
                  <c:v>3348</c:v>
                </c:pt>
                <c:pt idx="3">
                  <c:v>3254</c:v>
                </c:pt>
                <c:pt idx="4">
                  <c:v>3259</c:v>
                </c:pt>
                <c:pt idx="5">
                  <c:v>3750</c:v>
                </c:pt>
                <c:pt idx="6">
                  <c:v>4011</c:v>
                </c:pt>
                <c:pt idx="7">
                  <c:v>3739</c:v>
                </c:pt>
                <c:pt idx="8">
                  <c:v>3399</c:v>
                </c:pt>
                <c:pt idx="9">
                  <c:v>4006</c:v>
                </c:pt>
                <c:pt idx="10">
                  <c:v>3825</c:v>
                </c:pt>
                <c:pt idx="11">
                  <c:v>3432</c:v>
                </c:pt>
                <c:pt idx="12">
                  <c:v>3944</c:v>
                </c:pt>
                <c:pt idx="13">
                  <c:v>3338</c:v>
                </c:pt>
                <c:pt idx="14">
                  <c:v>3603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239936"/>
        <c:axId val="241241472"/>
      </c:areaChart>
      <c:dateAx>
        <c:axId val="241239936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crossAx val="241241472"/>
        <c:crosses val="autoZero"/>
        <c:auto val="1"/>
        <c:lblOffset val="100"/>
        <c:baseTimeUnit val="days"/>
      </c:dateAx>
      <c:valAx>
        <c:axId val="2412414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41239936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app</a:t>
            </a:r>
            <a:r>
              <a:rPr lang="zh-CN"/>
              <a:t>、</a:t>
            </a:r>
            <a:r>
              <a:rPr lang="en-US"/>
              <a:t>pc</a:t>
            </a:r>
            <a:r>
              <a:rPr lang="zh-CN"/>
              <a:t>投资人数走势</a:t>
            </a:r>
          </a:p>
        </c:rich>
      </c:tx>
      <c:layout/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面积图!$C$1</c:f>
              <c:strCache>
                <c:ptCount val="1"/>
                <c:pt idx="0">
                  <c:v>app投资人数</c:v>
                </c:pt>
              </c:strCache>
            </c:strRef>
          </c:tx>
          <c:cat>
            <c:numRef>
              <c:f>面积图!$B$2:$B$16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面积图!$C$2:$C$16</c:f>
              <c:numCache>
                <c:formatCode>General</c:formatCode>
                <c:ptCount val="15"/>
                <c:pt idx="0">
                  <c:v>3078</c:v>
                </c:pt>
                <c:pt idx="1">
                  <c:v>3844</c:v>
                </c:pt>
                <c:pt idx="2">
                  <c:v>3348</c:v>
                </c:pt>
                <c:pt idx="3">
                  <c:v>3254</c:v>
                </c:pt>
                <c:pt idx="4">
                  <c:v>3259</c:v>
                </c:pt>
                <c:pt idx="5">
                  <c:v>3750</c:v>
                </c:pt>
                <c:pt idx="6">
                  <c:v>4011</c:v>
                </c:pt>
                <c:pt idx="7">
                  <c:v>3739</c:v>
                </c:pt>
                <c:pt idx="8">
                  <c:v>3399</c:v>
                </c:pt>
                <c:pt idx="9">
                  <c:v>4006</c:v>
                </c:pt>
                <c:pt idx="10">
                  <c:v>3825</c:v>
                </c:pt>
                <c:pt idx="11">
                  <c:v>3432</c:v>
                </c:pt>
                <c:pt idx="12">
                  <c:v>3944</c:v>
                </c:pt>
                <c:pt idx="13">
                  <c:v>3338</c:v>
                </c:pt>
                <c:pt idx="14">
                  <c:v>3603</c:v>
                </c:pt>
              </c:numCache>
            </c:numRef>
          </c:val>
        </c:ser>
        <c:ser>
          <c:idx val="1"/>
          <c:order val="1"/>
          <c:tx>
            <c:strRef>
              <c:f>面积图!$D$1</c:f>
              <c:strCache>
                <c:ptCount val="1"/>
                <c:pt idx="0">
                  <c:v>pc投资人数</c:v>
                </c:pt>
              </c:strCache>
            </c:strRef>
          </c:tx>
          <c:cat>
            <c:numRef>
              <c:f>面积图!$B$2:$B$16</c:f>
              <c:numCache>
                <c:formatCode>m"月"d"日"yyyy"年"</c:formatCode>
                <c:ptCount val="15"/>
                <c:pt idx="0">
                  <c:v>42736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42742</c:v>
                </c:pt>
                <c:pt idx="7">
                  <c:v>42743</c:v>
                </c:pt>
                <c:pt idx="8">
                  <c:v>42744</c:v>
                </c:pt>
                <c:pt idx="9">
                  <c:v>42745</c:v>
                </c:pt>
                <c:pt idx="10">
                  <c:v>42746</c:v>
                </c:pt>
                <c:pt idx="11">
                  <c:v>42747</c:v>
                </c:pt>
                <c:pt idx="12">
                  <c:v>42748</c:v>
                </c:pt>
                <c:pt idx="13">
                  <c:v>42749</c:v>
                </c:pt>
                <c:pt idx="14">
                  <c:v>42750</c:v>
                </c:pt>
              </c:numCache>
            </c:numRef>
          </c:cat>
          <c:val>
            <c:numRef>
              <c:f>面积图!$D$2:$D$16</c:f>
              <c:numCache>
                <c:formatCode>General</c:formatCode>
                <c:ptCount val="15"/>
                <c:pt idx="0">
                  <c:v>4590</c:v>
                </c:pt>
                <c:pt idx="1">
                  <c:v>5587</c:v>
                </c:pt>
                <c:pt idx="2">
                  <c:v>5526</c:v>
                </c:pt>
                <c:pt idx="3">
                  <c:v>5228</c:v>
                </c:pt>
                <c:pt idx="4">
                  <c:v>4894</c:v>
                </c:pt>
                <c:pt idx="5">
                  <c:v>4661</c:v>
                </c:pt>
                <c:pt idx="6">
                  <c:v>5572</c:v>
                </c:pt>
                <c:pt idx="7">
                  <c:v>5045</c:v>
                </c:pt>
                <c:pt idx="8">
                  <c:v>4893</c:v>
                </c:pt>
                <c:pt idx="9">
                  <c:v>5351</c:v>
                </c:pt>
                <c:pt idx="10">
                  <c:v>4882</c:v>
                </c:pt>
                <c:pt idx="11">
                  <c:v>5390</c:v>
                </c:pt>
                <c:pt idx="12">
                  <c:v>5002</c:v>
                </c:pt>
                <c:pt idx="13">
                  <c:v>4899</c:v>
                </c:pt>
                <c:pt idx="14">
                  <c:v>4678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682880"/>
        <c:axId val="242717440"/>
      </c:areaChart>
      <c:dateAx>
        <c:axId val="242682880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crossAx val="242717440"/>
        <c:crosses val="autoZero"/>
        <c:auto val="1"/>
        <c:lblOffset val="100"/>
        <c:baseTimeUnit val="days"/>
      </c:dateAx>
      <c:valAx>
        <c:axId val="24271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42682880"/>
        <c:crosses val="autoZero"/>
        <c:crossBetween val="midCat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注册人数及同比增长走势图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组合图!$C$1</c:f>
              <c:strCache>
                <c:ptCount val="1"/>
                <c:pt idx="0">
                  <c:v>注册人数</c:v>
                </c:pt>
              </c:strCache>
            </c:strRef>
          </c:tx>
          <c:invertIfNegative val="0"/>
          <c:cat>
            <c:numRef>
              <c:f>组合图!$B$2:$B$10</c:f>
              <c:numCache>
                <c:formatCode>m/d/yyyy</c:formatCode>
                <c:ptCount val="9"/>
                <c:pt idx="0">
                  <c:v>42852</c:v>
                </c:pt>
                <c:pt idx="1">
                  <c:v>42853</c:v>
                </c:pt>
                <c:pt idx="2">
                  <c:v>42854</c:v>
                </c:pt>
                <c:pt idx="3">
                  <c:v>42855</c:v>
                </c:pt>
                <c:pt idx="4">
                  <c:v>42856</c:v>
                </c:pt>
                <c:pt idx="5">
                  <c:v>42857</c:v>
                </c:pt>
                <c:pt idx="6">
                  <c:v>42858</c:v>
                </c:pt>
                <c:pt idx="7">
                  <c:v>42859</c:v>
                </c:pt>
                <c:pt idx="8">
                  <c:v>42860</c:v>
                </c:pt>
              </c:numCache>
            </c:numRef>
          </c:cat>
          <c:val>
            <c:numRef>
              <c:f>组合图!$C$2:$C$10</c:f>
              <c:numCache>
                <c:formatCode>General</c:formatCode>
                <c:ptCount val="9"/>
                <c:pt idx="0">
                  <c:v>449</c:v>
                </c:pt>
                <c:pt idx="1">
                  <c:v>953</c:v>
                </c:pt>
                <c:pt idx="2">
                  <c:v>749</c:v>
                </c:pt>
                <c:pt idx="3">
                  <c:v>775</c:v>
                </c:pt>
                <c:pt idx="4">
                  <c:v>896</c:v>
                </c:pt>
                <c:pt idx="5">
                  <c:v>1278</c:v>
                </c:pt>
                <c:pt idx="6">
                  <c:v>1418</c:v>
                </c:pt>
                <c:pt idx="7">
                  <c:v>1478</c:v>
                </c:pt>
                <c:pt idx="8">
                  <c:v>1434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50527744"/>
        <c:axId val="250529280"/>
      </c:barChart>
      <c:lineChart>
        <c:grouping val="standard"/>
        <c:varyColors val="0"/>
        <c:ser>
          <c:idx val="1"/>
          <c:order val="1"/>
          <c:tx>
            <c:strRef>
              <c:f>组合图!$D$1</c:f>
              <c:strCache>
                <c:ptCount val="1"/>
                <c:pt idx="0">
                  <c:v>同比增长</c:v>
                </c:pt>
              </c:strCache>
            </c:strRef>
          </c:tx>
          <c:marker>
            <c:symbol val="none"/>
          </c:marker>
          <c:cat>
            <c:numRef>
              <c:f>组合图!$B$2:$B$10</c:f>
              <c:numCache>
                <c:formatCode>m/d/yyyy</c:formatCode>
                <c:ptCount val="9"/>
                <c:pt idx="0">
                  <c:v>42852</c:v>
                </c:pt>
                <c:pt idx="1">
                  <c:v>42853</c:v>
                </c:pt>
                <c:pt idx="2">
                  <c:v>42854</c:v>
                </c:pt>
                <c:pt idx="3">
                  <c:v>42855</c:v>
                </c:pt>
                <c:pt idx="4">
                  <c:v>42856</c:v>
                </c:pt>
                <c:pt idx="5">
                  <c:v>42857</c:v>
                </c:pt>
                <c:pt idx="6">
                  <c:v>42858</c:v>
                </c:pt>
                <c:pt idx="7">
                  <c:v>42859</c:v>
                </c:pt>
                <c:pt idx="8">
                  <c:v>42860</c:v>
                </c:pt>
              </c:numCache>
            </c:numRef>
          </c:cat>
          <c:val>
            <c:numRef>
              <c:f>组合图!$D$2:$D$10</c:f>
              <c:numCache>
                <c:formatCode>0.00%</c:formatCode>
                <c:ptCount val="9"/>
                <c:pt idx="0">
                  <c:v>0.937753967093788</c:v>
                </c:pt>
                <c:pt idx="1">
                  <c:v>0.39727299862212062</c:v>
                </c:pt>
                <c:pt idx="2">
                  <c:v>4.1851648028674582E-3</c:v>
                </c:pt>
                <c:pt idx="3">
                  <c:v>1.8947806302536119E-3</c:v>
                </c:pt>
                <c:pt idx="4">
                  <c:v>0.66269102604368912</c:v>
                </c:pt>
                <c:pt idx="5">
                  <c:v>0.68559997835236486</c:v>
                </c:pt>
                <c:pt idx="6">
                  <c:v>9.5148604425570604E-2</c:v>
                </c:pt>
                <c:pt idx="7">
                  <c:v>0.81907927646816225</c:v>
                </c:pt>
                <c:pt idx="8">
                  <c:v>0.54619779083679976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151296"/>
        <c:axId val="241708032"/>
      </c:lineChart>
      <c:dateAx>
        <c:axId val="250527744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crossAx val="250529280"/>
        <c:crosses val="autoZero"/>
        <c:auto val="1"/>
        <c:lblOffset val="100"/>
        <c:baseTimeUnit val="days"/>
      </c:dateAx>
      <c:valAx>
        <c:axId val="25052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50527744"/>
        <c:crosses val="autoZero"/>
        <c:crossBetween val="between"/>
      </c:valAx>
      <c:valAx>
        <c:axId val="2417080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38151296"/>
        <c:crosses val="max"/>
        <c:crossBetween val="between"/>
      </c:valAx>
      <c:dateAx>
        <c:axId val="3381512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1708032"/>
        <c:auto val="1"/>
        <c:lblOffset val="100"/>
        <c:baseTimeUnit val="day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'簇状+堆积+折线+数据点折线柱形图-转化漏斗'!$D$1</c:f>
              <c:strCache>
                <c:ptCount val="1"/>
                <c:pt idx="0">
                  <c:v>注册弹窗展现人数</c:v>
                </c:pt>
              </c:strCache>
            </c:strRef>
          </c:tx>
          <c:spPr>
            <a:ln w="412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'簇状+堆积+折线+数据点折线柱形图-转化漏斗'!$A$2:$A$6</c:f>
              <c:numCache>
                <c:formatCode>m/d/yyyy</c:formatCode>
                <c:ptCount val="5"/>
                <c:pt idx="0">
                  <c:v>42852</c:v>
                </c:pt>
                <c:pt idx="1">
                  <c:v>42853</c:v>
                </c:pt>
                <c:pt idx="2">
                  <c:v>42854</c:v>
                </c:pt>
                <c:pt idx="3">
                  <c:v>42855</c:v>
                </c:pt>
                <c:pt idx="4">
                  <c:v>42856</c:v>
                </c:pt>
              </c:numCache>
            </c:numRef>
          </c:cat>
          <c:val>
            <c:numRef>
              <c:f>'簇状+堆积+折线+数据点折线柱形图-转化漏斗'!$D$2:$D$6</c:f>
              <c:numCache>
                <c:formatCode>General</c:formatCode>
                <c:ptCount val="5"/>
                <c:pt idx="0">
                  <c:v>2694</c:v>
                </c:pt>
                <c:pt idx="1">
                  <c:v>6553</c:v>
                </c:pt>
                <c:pt idx="2">
                  <c:v>5777</c:v>
                </c:pt>
                <c:pt idx="3">
                  <c:v>5373</c:v>
                </c:pt>
                <c:pt idx="4">
                  <c:v>5733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'簇状+堆积+折线+数据点折线柱形图-转化漏斗'!$E$1</c:f>
              <c:strCache>
                <c:ptCount val="1"/>
                <c:pt idx="0">
                  <c:v>新用户登陆人数</c:v>
                </c:pt>
              </c:strCache>
            </c:strRef>
          </c:tx>
          <c:spPr>
            <a:ln w="412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'簇状+堆积+折线+数据点折线柱形图-转化漏斗'!$A$2:$A$6</c:f>
              <c:numCache>
                <c:formatCode>m/d/yyyy</c:formatCode>
                <c:ptCount val="5"/>
                <c:pt idx="0">
                  <c:v>42852</c:v>
                </c:pt>
                <c:pt idx="1">
                  <c:v>42853</c:v>
                </c:pt>
                <c:pt idx="2">
                  <c:v>42854</c:v>
                </c:pt>
                <c:pt idx="3">
                  <c:v>42855</c:v>
                </c:pt>
                <c:pt idx="4">
                  <c:v>42856</c:v>
                </c:pt>
              </c:numCache>
            </c:numRef>
          </c:cat>
          <c:val>
            <c:numRef>
              <c:f>'簇状+堆积+折线+数据点折线柱形图-转化漏斗'!$E$2:$E$6</c:f>
              <c:numCache>
                <c:formatCode>General</c:formatCode>
                <c:ptCount val="5"/>
                <c:pt idx="0">
                  <c:v>2001</c:v>
                </c:pt>
                <c:pt idx="1">
                  <c:v>4710</c:v>
                </c:pt>
                <c:pt idx="2">
                  <c:v>4002</c:v>
                </c:pt>
                <c:pt idx="3">
                  <c:v>3711</c:v>
                </c:pt>
                <c:pt idx="4">
                  <c:v>3933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62272"/>
        <c:axId val="204663808"/>
      </c:lineChart>
      <c:dateAx>
        <c:axId val="204662272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4663808"/>
        <c:crosses val="autoZero"/>
        <c:auto val="1"/>
        <c:lblOffset val="100"/>
        <c:baseTimeUnit val="days"/>
      </c:dateAx>
      <c:valAx>
        <c:axId val="20466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4662272"/>
        <c:crosses val="autoZero"/>
        <c:crossBetween val="between"/>
      </c:valAx>
      <c:spPr>
        <a:pattFill prst="lgCheck">
          <a:fgClr>
            <a:schemeClr val="bg1">
              <a:lumMod val="85000"/>
            </a:schemeClr>
          </a:fgClr>
          <a:bgClr>
            <a:schemeClr val="bg1"/>
          </a:bgClr>
        </a:pattFill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045719035743973"/>
          <c:y val="0.61344158773116819"/>
          <c:w val="0.44555278470490439"/>
          <c:h val="0.2663271285947172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ofPieChart>
        <c:ofPieType val="pie"/>
        <c:varyColors val="1"/>
        <c:ser>
          <c:idx val="0"/>
          <c:order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'簇状+堆积+折线+数据点折线柱形图-转化漏斗'!$D$15:$D$20</c:f>
              <c:strCache>
                <c:ptCount val="6"/>
                <c:pt idx="0">
                  <c:v>渠道1</c:v>
                </c:pt>
                <c:pt idx="1">
                  <c:v>渠道2</c:v>
                </c:pt>
                <c:pt idx="2">
                  <c:v>渠道3</c:v>
                </c:pt>
                <c:pt idx="3">
                  <c:v>渠道4-1</c:v>
                </c:pt>
                <c:pt idx="4">
                  <c:v>渠道4-2</c:v>
                </c:pt>
                <c:pt idx="5">
                  <c:v>渠道4-3</c:v>
                </c:pt>
              </c:strCache>
            </c:strRef>
          </c:cat>
          <c:val>
            <c:numRef>
              <c:f>'簇状+堆积+折线+数据点折线柱形图-转化漏斗'!$E$15:$E$20</c:f>
              <c:numCache>
                <c:formatCode>General</c:formatCode>
                <c:ptCount val="6"/>
                <c:pt idx="0">
                  <c:v>300</c:v>
                </c:pt>
                <c:pt idx="1">
                  <c:v>500</c:v>
                </c:pt>
                <c:pt idx="2">
                  <c:v>600</c:v>
                </c:pt>
                <c:pt idx="3">
                  <c:v>300</c:v>
                </c:pt>
                <c:pt idx="4">
                  <c:v>400</c:v>
                </c:pt>
                <c:pt idx="5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3"/>
        <c:secondPieSize val="75"/>
        <c:serLines/>
      </c:of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'簇状+堆积+折线+数据点折线柱形图-转化漏斗'!$G$1</c:f>
              <c:strCache>
                <c:ptCount val="1"/>
                <c:pt idx="0">
                  <c:v>qq登陆人数</c:v>
                </c:pt>
              </c:strCache>
            </c:strRef>
          </c:tx>
          <c:val>
            <c:numRef>
              <c:f>'簇状+堆积+折线+数据点折线柱形图-转化漏斗'!$G$2:$G$10</c:f>
              <c:numCache>
                <c:formatCode>General</c:formatCode>
                <c:ptCount val="9"/>
                <c:pt idx="0">
                  <c:v>228</c:v>
                </c:pt>
                <c:pt idx="1">
                  <c:v>755</c:v>
                </c:pt>
                <c:pt idx="2">
                  <c:v>669</c:v>
                </c:pt>
                <c:pt idx="3">
                  <c:v>439</c:v>
                </c:pt>
                <c:pt idx="4">
                  <c:v>433</c:v>
                </c:pt>
                <c:pt idx="5">
                  <c:v>839</c:v>
                </c:pt>
                <c:pt idx="6">
                  <c:v>943</c:v>
                </c:pt>
                <c:pt idx="7">
                  <c:v>944</c:v>
                </c:pt>
                <c:pt idx="8">
                  <c:v>856</c:v>
                </c:pt>
              </c:numCache>
            </c:numRef>
          </c:val>
        </c:ser>
        <c:ser>
          <c:idx val="1"/>
          <c:order val="1"/>
          <c:tx>
            <c:strRef>
              <c:f>'簇状+堆积+折线+数据点折线柱形图-转化漏斗'!$H$1</c:f>
              <c:strCache>
                <c:ptCount val="1"/>
                <c:pt idx="0">
                  <c:v>微博登陆人数</c:v>
                </c:pt>
              </c:strCache>
            </c:strRef>
          </c:tx>
          <c:val>
            <c:numRef>
              <c:f>'簇状+堆积+折线+数据点折线柱形图-转化漏斗'!$H$2:$H$10</c:f>
              <c:numCache>
                <c:formatCode>General</c:formatCode>
                <c:ptCount val="9"/>
                <c:pt idx="0">
                  <c:v>34</c:v>
                </c:pt>
                <c:pt idx="1">
                  <c:v>61</c:v>
                </c:pt>
                <c:pt idx="2">
                  <c:v>43</c:v>
                </c:pt>
                <c:pt idx="3">
                  <c:v>41</c:v>
                </c:pt>
                <c:pt idx="4">
                  <c:v>56</c:v>
                </c:pt>
                <c:pt idx="5">
                  <c:v>161</c:v>
                </c:pt>
                <c:pt idx="6">
                  <c:v>175</c:v>
                </c:pt>
                <c:pt idx="7">
                  <c:v>151</c:v>
                </c:pt>
                <c:pt idx="8">
                  <c:v>155</c:v>
                </c:pt>
              </c:numCache>
            </c:numRef>
          </c:val>
        </c:ser>
        <c:ser>
          <c:idx val="2"/>
          <c:order val="2"/>
          <c:tx>
            <c:strRef>
              <c:f>'簇状+堆积+折线+数据点折线柱形图-转化漏斗'!$I$1</c:f>
              <c:strCache>
                <c:ptCount val="1"/>
                <c:pt idx="0">
                  <c:v>微信登陆人数</c:v>
                </c:pt>
              </c:strCache>
            </c:strRef>
          </c:tx>
          <c:val>
            <c:numRef>
              <c:f>'簇状+堆积+折线+数据点折线柱形图-转化漏斗'!$I$2:$I$10</c:f>
              <c:numCache>
                <c:formatCode>General</c:formatCode>
                <c:ptCount val="9"/>
                <c:pt idx="0">
                  <c:v>663</c:v>
                </c:pt>
                <c:pt idx="1">
                  <c:v>1548</c:v>
                </c:pt>
                <c:pt idx="2">
                  <c:v>1291</c:v>
                </c:pt>
                <c:pt idx="3">
                  <c:v>1366</c:v>
                </c:pt>
                <c:pt idx="4">
                  <c:v>1392</c:v>
                </c:pt>
                <c:pt idx="5">
                  <c:v>2328</c:v>
                </c:pt>
                <c:pt idx="6">
                  <c:v>2837</c:v>
                </c:pt>
                <c:pt idx="7">
                  <c:v>2740</c:v>
                </c:pt>
                <c:pt idx="8">
                  <c:v>2692</c:v>
                </c:pt>
              </c:numCache>
            </c:numRef>
          </c:val>
        </c:ser>
        <c:ser>
          <c:idx val="3"/>
          <c:order val="3"/>
          <c:tx>
            <c:strRef>
              <c:f>'簇状+堆积+折线+数据点折线柱形图-转化漏斗'!$J$1</c:f>
              <c:strCache>
                <c:ptCount val="1"/>
                <c:pt idx="0">
                  <c:v>手机登陆人数</c:v>
                </c:pt>
              </c:strCache>
            </c:strRef>
          </c:tx>
          <c:val>
            <c:numRef>
              <c:f>'簇状+堆积+折线+数据点折线柱形图-转化漏斗'!$J$2:$J$10</c:f>
              <c:numCache>
                <c:formatCode>General</c:formatCode>
                <c:ptCount val="9"/>
                <c:pt idx="0">
                  <c:v>41</c:v>
                </c:pt>
                <c:pt idx="1">
                  <c:v>116</c:v>
                </c:pt>
                <c:pt idx="2">
                  <c:v>67</c:v>
                </c:pt>
                <c:pt idx="3">
                  <c:v>76</c:v>
                </c:pt>
                <c:pt idx="4">
                  <c:v>58</c:v>
                </c:pt>
                <c:pt idx="5">
                  <c:v>240</c:v>
                </c:pt>
                <c:pt idx="6">
                  <c:v>303</c:v>
                </c:pt>
                <c:pt idx="7">
                  <c:v>257</c:v>
                </c:pt>
                <c:pt idx="8">
                  <c:v>224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76384"/>
        <c:axId val="205777920"/>
      </c:areaChart>
      <c:catAx>
        <c:axId val="20577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5777920"/>
        <c:crosses val="autoZero"/>
        <c:auto val="1"/>
        <c:lblAlgn val="ctr"/>
        <c:lblOffset val="100"/>
        <c:noMultiLvlLbl val="0"/>
      </c:catAx>
      <c:valAx>
        <c:axId val="205777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776384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466724</xdr:colOff>
      <xdr:row>2</xdr:row>
      <xdr:rowOff>4762</xdr:rowOff>
    </xdr:from>
    <xdr:to>
      <xdr:col>12</xdr:col>
      <xdr:colOff>266700</xdr:colOff>
      <xdr:row>18</xdr:row>
      <xdr:rowOff>4762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19</xdr:row>
      <xdr:rowOff>61912</xdr:rowOff>
    </xdr:from>
    <xdr:to>
      <xdr:col>11</xdr:col>
      <xdr:colOff>228600</xdr:colOff>
      <xdr:row>35</xdr:row>
      <xdr:rowOff>61912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842962</xdr:colOff>
      <xdr:row>11</xdr:row>
      <xdr:rowOff>19050</xdr:rowOff>
    </xdr:from>
    <xdr:to>
      <xdr:col>8</xdr:col>
      <xdr:colOff>100012</xdr:colOff>
      <xdr:row>27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</xdr:row>
      <xdr:rowOff>166687</xdr:rowOff>
    </xdr:from>
    <xdr:to>
      <xdr:col>11</xdr:col>
      <xdr:colOff>104775</xdr:colOff>
      <xdr:row>17</xdr:row>
      <xdr:rowOff>166687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11</xdr:row>
      <xdr:rowOff>61912</xdr:rowOff>
    </xdr:from>
    <xdr:to>
      <xdr:col>13</xdr:col>
      <xdr:colOff>304800</xdr:colOff>
      <xdr:row>27</xdr:row>
      <xdr:rowOff>61912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11</xdr:row>
      <xdr:rowOff>109537</xdr:rowOff>
    </xdr:from>
    <xdr:to>
      <xdr:col>7</xdr:col>
      <xdr:colOff>609600</xdr:colOff>
      <xdr:row>27</xdr:row>
      <xdr:rowOff>109537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552449</xdr:colOff>
      <xdr:row>2</xdr:row>
      <xdr:rowOff>128587</xdr:rowOff>
    </xdr:from>
    <xdr:to>
      <xdr:col>13</xdr:col>
      <xdr:colOff>161925</xdr:colOff>
      <xdr:row>18</xdr:row>
      <xdr:rowOff>128587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42862</xdr:rowOff>
    </xdr:from>
    <xdr:to>
      <xdr:col>7</xdr:col>
      <xdr:colOff>104775</xdr:colOff>
      <xdr:row>23</xdr:row>
      <xdr:rowOff>42862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9</xdr:row>
      <xdr:rowOff>167640</xdr:rowOff>
    </xdr:from>
    <xdr:to>
      <xdr:col>6</xdr:col>
      <xdr:colOff>381000</xdr:colOff>
      <xdr:row>24</xdr:row>
      <xdr:rowOff>167640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123825</xdr:colOff>
      <xdr:row>17</xdr:row>
      <xdr:rowOff>26670</xdr:rowOff>
    </xdr:from>
    <xdr:to>
      <xdr:col>14</xdr:col>
      <xdr:colOff>85725</xdr:colOff>
      <xdr:row>32</xdr:row>
      <xdr:rowOff>26670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2</xdr:row>
      <xdr:rowOff>138112</xdr:rowOff>
    </xdr:from>
    <xdr:to>
      <xdr:col>11</xdr:col>
      <xdr:colOff>390525</xdr:colOff>
      <xdr:row>18</xdr:row>
      <xdr:rowOff>138112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2</xdr:row>
      <xdr:rowOff>138112</xdr:rowOff>
    </xdr:from>
    <xdr:to>
      <xdr:col>11</xdr:col>
      <xdr:colOff>323850</xdr:colOff>
      <xdr:row>18</xdr:row>
      <xdr:rowOff>138112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20</xdr:row>
      <xdr:rowOff>14287</xdr:rowOff>
    </xdr:from>
    <xdr:to>
      <xdr:col>11</xdr:col>
      <xdr:colOff>361950</xdr:colOff>
      <xdr:row>36</xdr:row>
      <xdr:rowOff>14287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485774</xdr:colOff>
      <xdr:row>1</xdr:row>
      <xdr:rowOff>119062</xdr:rowOff>
    </xdr:from>
    <xdr:to>
      <xdr:col>13</xdr:col>
      <xdr:colOff>57149</xdr:colOff>
      <xdr:row>16</xdr:row>
      <xdr:rowOff>33337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144780</xdr:colOff>
      <xdr:row>0</xdr:row>
      <xdr:rowOff>163830</xdr:rowOff>
    </xdr:from>
    <xdr:to>
      <xdr:col>17</xdr:col>
      <xdr:colOff>152400</xdr:colOff>
      <xdr:row>15</xdr:row>
      <xdr:rowOff>7620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419100</xdr:colOff>
      <xdr:row>22</xdr:row>
      <xdr:rowOff>64770</xdr:rowOff>
    </xdr:from>
    <xdr:to>
      <xdr:col>5</xdr:col>
      <xdr:colOff>571500</xdr:colOff>
      <xdr:row>37</xdr:row>
      <xdr:rowOff>64770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13</xdr:row>
      <xdr:rowOff>80962</xdr:rowOff>
    </xdr:from>
    <xdr:to>
      <xdr:col>10</xdr:col>
      <xdr:colOff>771525</xdr:colOff>
      <xdr:row>29</xdr:row>
      <xdr:rowOff>80962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9"/>
  <sheetViews>
    <sheetView topLeftCell="A4" workbookViewId="0">
      <selection activeCell="M23" sqref="M23"/>
    </sheetView>
  </sheetViews>
  <sheetFormatPr defaultRowHeight="13.5" x14ac:dyDescent="0.15"/>
  <cols>
    <col min="2" max="2" width="13.875" bestFit="1" customWidth="1"/>
    <col min="3" max="3" width="12.75" bestFit="1" customWidth="1"/>
    <col min="4" max="4" width="11.625" bestFit="1" customWidth="1"/>
  </cols>
  <sheetData>
    <row r="1" spans="2:16" x14ac:dyDescent="0.15">
      <c r="C1" t="s">
        <v>71</v>
      </c>
      <c r="D1" t="s">
        <v>72</v>
      </c>
    </row>
    <row r="2" spans="2:16" x14ac:dyDescent="0.15">
      <c r="B2" s="4">
        <v>42736</v>
      </c>
      <c r="C2">
        <v>3078</v>
      </c>
      <c r="D2">
        <v>4590</v>
      </c>
    </row>
    <row r="3" spans="2:16" x14ac:dyDescent="0.15">
      <c r="B3" s="4">
        <v>42737</v>
      </c>
      <c r="C3">
        <v>3844</v>
      </c>
      <c r="D3">
        <v>5587</v>
      </c>
    </row>
    <row r="4" spans="2:16" x14ac:dyDescent="0.15">
      <c r="B4" s="4">
        <v>42738</v>
      </c>
      <c r="C4">
        <v>3348</v>
      </c>
      <c r="D4">
        <v>5526</v>
      </c>
    </row>
    <row r="5" spans="2:16" x14ac:dyDescent="0.15">
      <c r="B5" s="4">
        <v>42739</v>
      </c>
      <c r="C5">
        <v>3254</v>
      </c>
      <c r="D5">
        <v>5228</v>
      </c>
    </row>
    <row r="6" spans="2:16" x14ac:dyDescent="0.15">
      <c r="B6" s="4">
        <v>42740</v>
      </c>
      <c r="C6">
        <v>3259</v>
      </c>
      <c r="D6">
        <v>4894</v>
      </c>
    </row>
    <row r="7" spans="2:16" x14ac:dyDescent="0.15">
      <c r="B7" s="4">
        <v>42741</v>
      </c>
      <c r="C7">
        <v>3750</v>
      </c>
      <c r="D7">
        <v>4661</v>
      </c>
    </row>
    <row r="8" spans="2:16" x14ac:dyDescent="0.15">
      <c r="B8" s="4">
        <v>42742</v>
      </c>
      <c r="C8">
        <v>4011</v>
      </c>
      <c r="D8">
        <v>5572</v>
      </c>
    </row>
    <row r="9" spans="2:16" x14ac:dyDescent="0.15">
      <c r="B9" s="4">
        <v>42743</v>
      </c>
      <c r="C9">
        <v>3739</v>
      </c>
      <c r="D9">
        <v>5045</v>
      </c>
    </row>
    <row r="10" spans="2:16" x14ac:dyDescent="0.15">
      <c r="B10" s="4">
        <v>42744</v>
      </c>
      <c r="C10">
        <v>3399</v>
      </c>
      <c r="D10">
        <v>4893</v>
      </c>
    </row>
    <row r="11" spans="2:16" x14ac:dyDescent="0.15">
      <c r="B11" s="4">
        <v>42745</v>
      </c>
      <c r="C11">
        <v>4006</v>
      </c>
      <c r="D11">
        <v>5351</v>
      </c>
    </row>
    <row r="12" spans="2:16" x14ac:dyDescent="0.15">
      <c r="B12" s="4">
        <v>42746</v>
      </c>
      <c r="C12">
        <v>3825</v>
      </c>
      <c r="D12">
        <v>4882</v>
      </c>
    </row>
    <row r="13" spans="2:16" x14ac:dyDescent="0.15">
      <c r="B13" s="4">
        <v>42747</v>
      </c>
      <c r="C13">
        <v>3432</v>
      </c>
      <c r="D13">
        <v>5390</v>
      </c>
      <c r="P13" t="s">
        <v>76</v>
      </c>
    </row>
    <row r="14" spans="2:16" x14ac:dyDescent="0.15">
      <c r="B14" s="4">
        <v>42748</v>
      </c>
      <c r="C14">
        <v>3944</v>
      </c>
      <c r="D14">
        <v>5002</v>
      </c>
    </row>
    <row r="15" spans="2:16" x14ac:dyDescent="0.15">
      <c r="B15" s="4">
        <v>42749</v>
      </c>
      <c r="C15">
        <v>3338</v>
      </c>
      <c r="D15">
        <v>4899</v>
      </c>
    </row>
    <row r="16" spans="2:16" x14ac:dyDescent="0.15">
      <c r="B16" s="4">
        <v>42750</v>
      </c>
      <c r="C16">
        <v>3603</v>
      </c>
      <c r="D16">
        <v>4678</v>
      </c>
    </row>
    <row r="17" spans="2:4" x14ac:dyDescent="0.15">
      <c r="B17" s="4">
        <v>42751</v>
      </c>
      <c r="C17">
        <v>3974</v>
      </c>
      <c r="D17">
        <v>5545</v>
      </c>
    </row>
    <row r="18" spans="2:4" x14ac:dyDescent="0.15">
      <c r="B18" s="4">
        <v>42752</v>
      </c>
      <c r="C18">
        <v>3622</v>
      </c>
      <c r="D18">
        <v>4666</v>
      </c>
    </row>
    <row r="19" spans="2:4" x14ac:dyDescent="0.15">
      <c r="B19" s="4">
        <v>42753</v>
      </c>
      <c r="C19">
        <v>3414</v>
      </c>
      <c r="D19">
        <v>4739</v>
      </c>
    </row>
    <row r="20" spans="2:4" x14ac:dyDescent="0.15">
      <c r="B20" s="4">
        <v>42754</v>
      </c>
      <c r="C20">
        <v>3317</v>
      </c>
      <c r="D20">
        <v>5100</v>
      </c>
    </row>
    <row r="21" spans="2:4" x14ac:dyDescent="0.15">
      <c r="B21" s="4">
        <v>42755</v>
      </c>
      <c r="C21">
        <v>3169</v>
      </c>
      <c r="D21">
        <v>5335</v>
      </c>
    </row>
    <row r="22" spans="2:4" x14ac:dyDescent="0.15">
      <c r="B22" s="4">
        <v>42756</v>
      </c>
      <c r="C22">
        <v>3577</v>
      </c>
      <c r="D22">
        <v>4676</v>
      </c>
    </row>
    <row r="23" spans="2:4" x14ac:dyDescent="0.15">
      <c r="B23" s="4">
        <v>42757</v>
      </c>
      <c r="C23">
        <v>3625</v>
      </c>
      <c r="D23">
        <v>5419</v>
      </c>
    </row>
    <row r="24" spans="2:4" x14ac:dyDescent="0.15">
      <c r="B24" s="4">
        <v>42758</v>
      </c>
      <c r="C24">
        <v>3585</v>
      </c>
      <c r="D24">
        <v>5370</v>
      </c>
    </row>
    <row r="25" spans="2:4" x14ac:dyDescent="0.15">
      <c r="B25" s="4">
        <v>42759</v>
      </c>
      <c r="C25">
        <v>3320</v>
      </c>
      <c r="D25">
        <v>5130</v>
      </c>
    </row>
    <row r="26" spans="2:4" x14ac:dyDescent="0.15">
      <c r="B26" s="4">
        <v>42760</v>
      </c>
      <c r="C26">
        <v>3198</v>
      </c>
      <c r="D26">
        <v>5141</v>
      </c>
    </row>
    <row r="27" spans="2:4" x14ac:dyDescent="0.15">
      <c r="B27" s="4">
        <v>42761</v>
      </c>
      <c r="C27">
        <v>3800</v>
      </c>
      <c r="D27">
        <v>4636</v>
      </c>
    </row>
    <row r="28" spans="2:4" x14ac:dyDescent="0.15">
      <c r="B28" s="4">
        <v>42762</v>
      </c>
      <c r="C28">
        <v>3291</v>
      </c>
      <c r="D28">
        <v>5135</v>
      </c>
    </row>
    <row r="29" spans="2:4" x14ac:dyDescent="0.15">
      <c r="B29" s="4">
        <v>42763</v>
      </c>
      <c r="C29">
        <v>3390</v>
      </c>
      <c r="D29">
        <v>5420</v>
      </c>
    </row>
    <row r="30" spans="2:4" x14ac:dyDescent="0.15">
      <c r="B30" s="4">
        <v>42764</v>
      </c>
      <c r="C30">
        <v>4045</v>
      </c>
      <c r="D30">
        <v>4774</v>
      </c>
    </row>
    <row r="31" spans="2:4" x14ac:dyDescent="0.15">
      <c r="B31" s="4">
        <v>42765</v>
      </c>
      <c r="C31">
        <v>3236</v>
      </c>
      <c r="D31">
        <v>4672</v>
      </c>
    </row>
    <row r="32" spans="2:4" x14ac:dyDescent="0.15">
      <c r="B32" s="4">
        <v>42766</v>
      </c>
      <c r="C32">
        <v>3508</v>
      </c>
      <c r="D32">
        <v>4901</v>
      </c>
    </row>
    <row r="33" spans="2:4" x14ac:dyDescent="0.15">
      <c r="B33" s="4">
        <v>42767</v>
      </c>
      <c r="C33">
        <v>3666</v>
      </c>
      <c r="D33">
        <v>5383</v>
      </c>
    </row>
    <row r="34" spans="2:4" x14ac:dyDescent="0.15">
      <c r="B34" s="4"/>
    </row>
    <row r="35" spans="2:4" x14ac:dyDescent="0.15">
      <c r="B35" s="4"/>
    </row>
    <row r="36" spans="2:4" x14ac:dyDescent="0.15">
      <c r="B36" s="4"/>
    </row>
    <row r="37" spans="2:4" x14ac:dyDescent="0.15">
      <c r="B37" s="4"/>
    </row>
    <row r="38" spans="2:4" x14ac:dyDescent="0.15">
      <c r="B38" s="4"/>
    </row>
    <row r="39" spans="2:4" x14ac:dyDescent="0.15">
      <c r="B39" s="4"/>
    </row>
    <row r="40" spans="2:4" x14ac:dyDescent="0.15">
      <c r="B40" s="4"/>
    </row>
    <row r="41" spans="2:4" x14ac:dyDescent="0.15">
      <c r="B41" s="4"/>
    </row>
    <row r="42" spans="2:4" x14ac:dyDescent="0.15">
      <c r="B42" s="4"/>
    </row>
    <row r="43" spans="2:4" x14ac:dyDescent="0.15">
      <c r="B43" s="4"/>
    </row>
    <row r="44" spans="2:4" x14ac:dyDescent="0.15">
      <c r="B44" s="4"/>
    </row>
    <row r="45" spans="2:4" x14ac:dyDescent="0.15">
      <c r="B45" s="4"/>
    </row>
    <row r="46" spans="2:4" x14ac:dyDescent="0.15">
      <c r="B46" s="4"/>
    </row>
    <row r="47" spans="2:4" x14ac:dyDescent="0.15">
      <c r="B47" s="4"/>
    </row>
    <row r="48" spans="2:4" x14ac:dyDescent="0.15">
      <c r="B48" s="4"/>
    </row>
    <row r="49" spans="2:2" x14ac:dyDescent="0.15">
      <c r="B49" s="4"/>
    </row>
    <row r="50" spans="2:2" x14ac:dyDescent="0.15">
      <c r="B50" s="4"/>
    </row>
    <row r="51" spans="2:2" x14ac:dyDescent="0.15">
      <c r="B51" s="4"/>
    </row>
    <row r="52" spans="2:2" x14ac:dyDescent="0.15">
      <c r="B52" s="4"/>
    </row>
    <row r="53" spans="2:2" x14ac:dyDescent="0.15">
      <c r="B53" s="4"/>
    </row>
    <row r="54" spans="2:2" x14ac:dyDescent="0.15">
      <c r="B54" s="4"/>
    </row>
    <row r="55" spans="2:2" x14ac:dyDescent="0.15">
      <c r="B55" s="4"/>
    </row>
    <row r="56" spans="2:2" x14ac:dyDescent="0.15">
      <c r="B56" s="4"/>
    </row>
    <row r="57" spans="2:2" x14ac:dyDescent="0.15">
      <c r="B57" s="4"/>
    </row>
    <row r="58" spans="2:2" x14ac:dyDescent="0.15">
      <c r="B58" s="4"/>
    </row>
    <row r="59" spans="2:2" x14ac:dyDescent="0.15">
      <c r="B59" s="4"/>
    </row>
    <row r="60" spans="2:2" x14ac:dyDescent="0.15">
      <c r="B60" s="4"/>
    </row>
    <row r="61" spans="2:2" x14ac:dyDescent="0.15">
      <c r="B61" s="4"/>
    </row>
    <row r="62" spans="2:2" x14ac:dyDescent="0.15">
      <c r="B62" s="4"/>
    </row>
    <row r="63" spans="2:2" x14ac:dyDescent="0.15">
      <c r="B63" s="4"/>
    </row>
    <row r="64" spans="2:2" x14ac:dyDescent="0.15">
      <c r="B64" s="4"/>
    </row>
    <row r="65" spans="2:2" x14ac:dyDescent="0.15">
      <c r="B65" s="4"/>
    </row>
    <row r="66" spans="2:2" x14ac:dyDescent="0.15">
      <c r="B66" s="4"/>
    </row>
    <row r="67" spans="2:2" x14ac:dyDescent="0.15">
      <c r="B67" s="4"/>
    </row>
    <row r="68" spans="2:2" x14ac:dyDescent="0.15">
      <c r="B68" s="4"/>
    </row>
    <row r="69" spans="2:2" x14ac:dyDescent="0.15">
      <c r="B69" s="4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20" sqref="J20"/>
    </sheetView>
  </sheetViews>
  <sheetFormatPr defaultRowHeight="13.5" x14ac:dyDescent="0.15"/>
  <cols>
    <col min="2" max="2" width="10.25" bestFit="1" customWidth="1"/>
    <col min="3" max="3" width="3.875" bestFit="1" customWidth="1"/>
    <col min="4" max="4" width="12.75" bestFit="1" customWidth="1"/>
    <col min="5" max="5" width="17.25" bestFit="1" customWidth="1"/>
    <col min="6" max="6" width="15.125" bestFit="1" customWidth="1"/>
    <col min="7" max="7" width="13" bestFit="1" customWidth="1"/>
    <col min="8" max="8" width="11.625" bestFit="1" customWidth="1"/>
    <col min="9" max="12" width="13" bestFit="1" customWidth="1"/>
  </cols>
  <sheetData>
    <row r="1" spans="2:16" ht="15.75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2" t="s">
        <v>10</v>
      </c>
    </row>
    <row r="2" spans="2:16" ht="15.75" x14ac:dyDescent="0.15">
      <c r="B2" s="3">
        <v>42852</v>
      </c>
      <c r="C2" s="2" t="s">
        <v>11</v>
      </c>
      <c r="D2" s="2" t="s">
        <v>12</v>
      </c>
      <c r="E2" s="2">
        <v>2694</v>
      </c>
      <c r="F2" s="2">
        <v>2001</v>
      </c>
      <c r="G2" s="2">
        <v>807</v>
      </c>
      <c r="H2" s="2">
        <v>228</v>
      </c>
      <c r="I2" s="2">
        <v>34</v>
      </c>
      <c r="J2" s="2">
        <v>663</v>
      </c>
      <c r="K2" s="2">
        <v>41</v>
      </c>
      <c r="L2" s="2">
        <v>449</v>
      </c>
    </row>
    <row r="3" spans="2:16" ht="15.75" x14ac:dyDescent="0.15">
      <c r="B3" s="3">
        <v>42853</v>
      </c>
      <c r="C3" s="2" t="s">
        <v>11</v>
      </c>
      <c r="D3" s="2" t="s">
        <v>12</v>
      </c>
      <c r="E3" s="2">
        <v>6553</v>
      </c>
      <c r="F3" s="2">
        <v>4710</v>
      </c>
      <c r="G3" s="2">
        <v>2479</v>
      </c>
      <c r="H3" s="2">
        <v>755</v>
      </c>
      <c r="I3" s="2">
        <v>61</v>
      </c>
      <c r="J3" s="2">
        <v>1548</v>
      </c>
      <c r="K3" s="2">
        <v>116</v>
      </c>
      <c r="L3" s="2">
        <v>953</v>
      </c>
    </row>
    <row r="4" spans="2:16" ht="15.75" x14ac:dyDescent="0.15">
      <c r="B4" s="3">
        <v>42854</v>
      </c>
      <c r="C4" s="2" t="s">
        <v>11</v>
      </c>
      <c r="D4" s="2" t="s">
        <v>12</v>
      </c>
      <c r="E4" s="2">
        <v>5777</v>
      </c>
      <c r="F4" s="2">
        <v>4002</v>
      </c>
      <c r="G4" s="2">
        <v>2389</v>
      </c>
      <c r="H4" s="2">
        <v>669</v>
      </c>
      <c r="I4" s="2">
        <v>43</v>
      </c>
      <c r="J4" s="2">
        <v>1291</v>
      </c>
      <c r="K4" s="2">
        <v>67</v>
      </c>
      <c r="L4" s="2">
        <v>749</v>
      </c>
    </row>
    <row r="5" spans="2:16" ht="15.75" x14ac:dyDescent="0.15">
      <c r="B5" s="3">
        <v>42855</v>
      </c>
      <c r="C5" s="2" t="s">
        <v>11</v>
      </c>
      <c r="D5" s="2" t="s">
        <v>12</v>
      </c>
      <c r="E5" s="2">
        <v>5373</v>
      </c>
      <c r="F5" s="2">
        <v>3711</v>
      </c>
      <c r="G5" s="2">
        <v>2124</v>
      </c>
      <c r="H5" s="2">
        <v>439</v>
      </c>
      <c r="I5" s="2">
        <v>41</v>
      </c>
      <c r="J5" s="2">
        <v>1366</v>
      </c>
      <c r="K5" s="2">
        <v>76</v>
      </c>
      <c r="L5" s="2">
        <v>775</v>
      </c>
    </row>
    <row r="6" spans="2:16" ht="15.75" x14ac:dyDescent="0.15">
      <c r="B6" s="3">
        <v>42856</v>
      </c>
      <c r="C6" s="2" t="s">
        <v>11</v>
      </c>
      <c r="D6" s="2" t="s">
        <v>12</v>
      </c>
      <c r="E6" s="2">
        <v>5733</v>
      </c>
      <c r="F6" s="2">
        <v>3933</v>
      </c>
      <c r="G6" s="2">
        <v>2301</v>
      </c>
      <c r="H6" s="2">
        <v>433</v>
      </c>
      <c r="I6" s="2">
        <v>56</v>
      </c>
      <c r="J6" s="2">
        <v>1392</v>
      </c>
      <c r="K6" s="2">
        <v>58</v>
      </c>
      <c r="L6" s="2">
        <v>896</v>
      </c>
    </row>
    <row r="7" spans="2:16" ht="15.75" x14ac:dyDescent="0.15">
      <c r="B7" s="3">
        <v>42857</v>
      </c>
      <c r="C7" s="2" t="s">
        <v>11</v>
      </c>
      <c r="D7" s="2" t="s">
        <v>12</v>
      </c>
      <c r="E7" s="2">
        <v>8681</v>
      </c>
      <c r="F7" s="2">
        <v>6641</v>
      </c>
      <c r="G7" s="2">
        <v>2817</v>
      </c>
      <c r="H7" s="2">
        <v>839</v>
      </c>
      <c r="I7" s="2">
        <v>161</v>
      </c>
      <c r="J7" s="2">
        <v>2328</v>
      </c>
      <c r="K7" s="2">
        <v>240</v>
      </c>
      <c r="L7" s="2">
        <v>1278</v>
      </c>
    </row>
    <row r="8" spans="2:16" ht="15.75" x14ac:dyDescent="0.15">
      <c r="B8" s="3">
        <v>42858</v>
      </c>
      <c r="C8" s="2" t="s">
        <v>11</v>
      </c>
      <c r="D8" s="2" t="s">
        <v>12</v>
      </c>
      <c r="E8" s="2">
        <v>10130</v>
      </c>
      <c r="F8" s="2">
        <v>7763</v>
      </c>
      <c r="G8" s="2">
        <v>3314</v>
      </c>
      <c r="H8" s="2">
        <v>943</v>
      </c>
      <c r="I8" s="2">
        <v>175</v>
      </c>
      <c r="J8" s="2">
        <v>2837</v>
      </c>
      <c r="K8" s="2">
        <v>303</v>
      </c>
      <c r="L8" s="2">
        <v>1418</v>
      </c>
    </row>
    <row r="9" spans="2:16" ht="15.75" x14ac:dyDescent="0.15">
      <c r="B9" s="3">
        <v>42859</v>
      </c>
      <c r="C9" s="2" t="s">
        <v>11</v>
      </c>
      <c r="D9" s="2" t="s">
        <v>12</v>
      </c>
      <c r="E9" s="2">
        <v>10213</v>
      </c>
      <c r="F9" s="2">
        <v>7668</v>
      </c>
      <c r="G9" s="2">
        <v>3419</v>
      </c>
      <c r="H9" s="2">
        <v>944</v>
      </c>
      <c r="I9" s="2">
        <v>151</v>
      </c>
      <c r="J9" s="2">
        <v>2740</v>
      </c>
      <c r="K9" s="2">
        <v>257</v>
      </c>
      <c r="L9" s="2">
        <v>1478</v>
      </c>
    </row>
    <row r="10" spans="2:16" ht="15.75" x14ac:dyDescent="0.15">
      <c r="B10" s="3">
        <v>42860</v>
      </c>
      <c r="C10" s="2" t="s">
        <v>11</v>
      </c>
      <c r="D10" s="2" t="s">
        <v>12</v>
      </c>
      <c r="E10" s="2">
        <v>9722</v>
      </c>
      <c r="F10" s="2">
        <v>7343</v>
      </c>
      <c r="G10" s="2">
        <v>3086</v>
      </c>
      <c r="H10" s="2">
        <v>856</v>
      </c>
      <c r="I10" s="2">
        <v>155</v>
      </c>
      <c r="J10" s="2">
        <v>2692</v>
      </c>
      <c r="K10" s="2">
        <v>224</v>
      </c>
      <c r="L10" s="2">
        <v>1434</v>
      </c>
    </row>
    <row r="11" spans="2:16" x14ac:dyDescent="0.15">
      <c r="B11" s="4"/>
    </row>
    <row r="12" spans="2:16" x14ac:dyDescent="0.15">
      <c r="B12" s="4"/>
    </row>
    <row r="13" spans="2:16" x14ac:dyDescent="0.15">
      <c r="B13" s="4"/>
      <c r="P13" t="s">
        <v>76</v>
      </c>
    </row>
    <row r="14" spans="2:16" x14ac:dyDescent="0.15">
      <c r="B14" s="4"/>
    </row>
    <row r="15" spans="2:16" x14ac:dyDescent="0.15">
      <c r="B15" s="4"/>
    </row>
    <row r="16" spans="2:16" x14ac:dyDescent="0.15">
      <c r="B16" s="4"/>
    </row>
    <row r="17" spans="2:2" x14ac:dyDescent="0.15">
      <c r="B17" s="4"/>
    </row>
    <row r="18" spans="2:2" x14ac:dyDescent="0.15">
      <c r="B18" s="4"/>
    </row>
    <row r="19" spans="2:2" x14ac:dyDescent="0.15">
      <c r="B19" s="4"/>
    </row>
    <row r="20" spans="2:2" x14ac:dyDescent="0.15">
      <c r="B20" s="4"/>
    </row>
    <row r="21" spans="2:2" x14ac:dyDescent="0.15">
      <c r="B21" s="4"/>
    </row>
    <row r="22" spans="2:2" x14ac:dyDescent="0.15">
      <c r="B22" s="4"/>
    </row>
    <row r="23" spans="2:2" x14ac:dyDescent="0.15">
      <c r="B23" s="4"/>
    </row>
    <row r="24" spans="2:2" x14ac:dyDescent="0.15">
      <c r="B24" s="4"/>
    </row>
    <row r="25" spans="2:2" x14ac:dyDescent="0.15">
      <c r="B25" s="4"/>
    </row>
    <row r="26" spans="2:2" x14ac:dyDescent="0.15">
      <c r="B26" s="4"/>
    </row>
    <row r="27" spans="2:2" x14ac:dyDescent="0.15">
      <c r="B27" s="4"/>
    </row>
    <row r="28" spans="2:2" x14ac:dyDescent="0.15">
      <c r="B28" s="4"/>
    </row>
    <row r="29" spans="2:2" x14ac:dyDescent="0.15">
      <c r="B29" s="4"/>
    </row>
    <row r="30" spans="2:2" x14ac:dyDescent="0.15">
      <c r="B30" s="4"/>
    </row>
    <row r="31" spans="2:2" x14ac:dyDescent="0.15">
      <c r="B31" s="4"/>
    </row>
    <row r="32" spans="2:2" x14ac:dyDescent="0.15">
      <c r="B32" s="4"/>
    </row>
    <row r="33" spans="2:2" x14ac:dyDescent="0.15">
      <c r="B33" s="4"/>
    </row>
    <row r="34" spans="2:2" x14ac:dyDescent="0.15">
      <c r="B34" s="4"/>
    </row>
    <row r="35" spans="2:2" x14ac:dyDescent="0.15">
      <c r="B35" s="4"/>
    </row>
    <row r="36" spans="2:2" x14ac:dyDescent="0.15">
      <c r="B36" s="4"/>
    </row>
    <row r="37" spans="2:2" x14ac:dyDescent="0.15">
      <c r="B37" s="4"/>
    </row>
    <row r="38" spans="2:2" x14ac:dyDescent="0.15">
      <c r="B38" s="4"/>
    </row>
    <row r="39" spans="2:2" x14ac:dyDescent="0.15">
      <c r="B39" s="4"/>
    </row>
    <row r="40" spans="2:2" x14ac:dyDescent="0.15">
      <c r="B40" s="4"/>
    </row>
    <row r="41" spans="2:2" x14ac:dyDescent="0.15">
      <c r="B41" s="4"/>
    </row>
    <row r="42" spans="2:2" x14ac:dyDescent="0.15">
      <c r="B42" s="4"/>
    </row>
    <row r="43" spans="2:2" x14ac:dyDescent="0.15">
      <c r="B43" s="4"/>
    </row>
    <row r="44" spans="2:2" x14ac:dyDescent="0.15">
      <c r="B44" s="4"/>
    </row>
    <row r="45" spans="2:2" x14ac:dyDescent="0.15">
      <c r="B45" s="4"/>
    </row>
    <row r="46" spans="2:2" x14ac:dyDescent="0.15">
      <c r="B46" s="4"/>
    </row>
    <row r="47" spans="2:2" x14ac:dyDescent="0.15">
      <c r="B47" s="4"/>
    </row>
    <row r="48" spans="2:2" x14ac:dyDescent="0.15">
      <c r="B48" s="4"/>
    </row>
    <row r="49" spans="2:2" x14ac:dyDescent="0.15">
      <c r="B49" s="4"/>
    </row>
    <row r="50" spans="2:2" x14ac:dyDescent="0.15">
      <c r="B50" s="4"/>
    </row>
    <row r="51" spans="2:2" x14ac:dyDescent="0.15">
      <c r="B51" s="4"/>
    </row>
    <row r="52" spans="2:2" x14ac:dyDescent="0.15">
      <c r="B52" s="4"/>
    </row>
    <row r="53" spans="2:2" x14ac:dyDescent="0.15">
      <c r="B53" s="4"/>
    </row>
    <row r="54" spans="2:2" x14ac:dyDescent="0.15">
      <c r="B54" s="4"/>
    </row>
    <row r="55" spans="2:2" x14ac:dyDescent="0.15">
      <c r="B55" s="4"/>
    </row>
    <row r="56" spans="2:2" x14ac:dyDescent="0.15">
      <c r="B56" s="4"/>
    </row>
    <row r="57" spans="2:2" x14ac:dyDescent="0.15">
      <c r="B57" s="4"/>
    </row>
    <row r="58" spans="2:2" x14ac:dyDescent="0.15">
      <c r="B58" s="4"/>
    </row>
    <row r="59" spans="2:2" x14ac:dyDescent="0.15">
      <c r="B59" s="4"/>
    </row>
    <row r="60" spans="2:2" x14ac:dyDescent="0.15">
      <c r="B60" s="4"/>
    </row>
    <row r="61" spans="2:2" x14ac:dyDescent="0.15">
      <c r="B61" s="4"/>
    </row>
    <row r="62" spans="2:2" x14ac:dyDescent="0.15">
      <c r="B62" s="4"/>
    </row>
    <row r="63" spans="2:2" x14ac:dyDescent="0.15">
      <c r="B63" s="4"/>
    </row>
    <row r="64" spans="2:2" x14ac:dyDescent="0.15">
      <c r="B64" s="4"/>
    </row>
    <row r="65" spans="2:2" x14ac:dyDescent="0.15">
      <c r="B65" s="4"/>
    </row>
    <row r="66" spans="2:2" x14ac:dyDescent="0.15">
      <c r="B66" s="4"/>
    </row>
    <row r="67" spans="2:2" x14ac:dyDescent="0.15">
      <c r="B67" s="4"/>
    </row>
    <row r="68" spans="2:2" x14ac:dyDescent="0.15">
      <c r="B68" s="4"/>
    </row>
    <row r="69" spans="2:2" x14ac:dyDescent="0.15">
      <c r="B69" s="4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9"/>
  <sheetViews>
    <sheetView workbookViewId="0">
      <selection activeCell="M11" sqref="M11"/>
    </sheetView>
  </sheetViews>
  <sheetFormatPr defaultRowHeight="13.5" x14ac:dyDescent="0.15"/>
  <cols>
    <col min="2" max="2" width="13.875" bestFit="1" customWidth="1"/>
    <col min="3" max="3" width="12.75" bestFit="1" customWidth="1"/>
    <col min="4" max="4" width="11.625" bestFit="1" customWidth="1"/>
  </cols>
  <sheetData>
    <row r="1" spans="2:4" x14ac:dyDescent="0.15">
      <c r="C1" t="s">
        <v>71</v>
      </c>
      <c r="D1" t="s">
        <v>72</v>
      </c>
    </row>
    <row r="2" spans="2:4" x14ac:dyDescent="0.15">
      <c r="B2" s="4">
        <v>42736</v>
      </c>
      <c r="C2">
        <v>3078</v>
      </c>
      <c r="D2">
        <v>4590</v>
      </c>
    </row>
    <row r="3" spans="2:4" x14ac:dyDescent="0.15">
      <c r="B3" s="4">
        <v>42737</v>
      </c>
      <c r="C3">
        <v>3844</v>
      </c>
      <c r="D3">
        <v>5587</v>
      </c>
    </row>
    <row r="4" spans="2:4" x14ac:dyDescent="0.15">
      <c r="B4" s="4">
        <v>42738</v>
      </c>
      <c r="C4">
        <v>3348</v>
      </c>
      <c r="D4">
        <v>5526</v>
      </c>
    </row>
    <row r="5" spans="2:4" x14ac:dyDescent="0.15">
      <c r="B5" s="4">
        <v>42739</v>
      </c>
      <c r="C5">
        <v>3254</v>
      </c>
      <c r="D5">
        <v>5228</v>
      </c>
    </row>
    <row r="6" spans="2:4" x14ac:dyDescent="0.15">
      <c r="B6" s="4">
        <v>42740</v>
      </c>
      <c r="C6">
        <v>3259</v>
      </c>
      <c r="D6">
        <v>4894</v>
      </c>
    </row>
    <row r="7" spans="2:4" x14ac:dyDescent="0.15">
      <c r="B7" s="4">
        <v>42741</v>
      </c>
      <c r="C7">
        <v>3750</v>
      </c>
      <c r="D7">
        <v>4661</v>
      </c>
    </row>
    <row r="8" spans="2:4" x14ac:dyDescent="0.15">
      <c r="B8" s="4">
        <v>42742</v>
      </c>
      <c r="C8">
        <v>4011</v>
      </c>
      <c r="D8">
        <v>5572</v>
      </c>
    </row>
    <row r="9" spans="2:4" x14ac:dyDescent="0.15">
      <c r="B9" s="4">
        <v>42743</v>
      </c>
      <c r="C9">
        <v>3739</v>
      </c>
      <c r="D9">
        <v>5045</v>
      </c>
    </row>
    <row r="10" spans="2:4" x14ac:dyDescent="0.15">
      <c r="B10" s="4">
        <v>42744</v>
      </c>
      <c r="C10">
        <v>3399</v>
      </c>
      <c r="D10">
        <v>4893</v>
      </c>
    </row>
    <row r="11" spans="2:4" x14ac:dyDescent="0.15">
      <c r="B11" s="4">
        <v>42745</v>
      </c>
      <c r="C11">
        <v>4006</v>
      </c>
      <c r="D11">
        <v>5351</v>
      </c>
    </row>
    <row r="12" spans="2:4" x14ac:dyDescent="0.15">
      <c r="B12" s="4">
        <v>42746</v>
      </c>
      <c r="C12">
        <v>3825</v>
      </c>
      <c r="D12">
        <v>4882</v>
      </c>
    </row>
    <row r="13" spans="2:4" x14ac:dyDescent="0.15">
      <c r="B13" s="4">
        <v>42747</v>
      </c>
      <c r="C13">
        <v>3432</v>
      </c>
      <c r="D13">
        <v>5390</v>
      </c>
    </row>
    <row r="14" spans="2:4" x14ac:dyDescent="0.15">
      <c r="B14" s="4">
        <v>42748</v>
      </c>
      <c r="C14">
        <v>3944</v>
      </c>
      <c r="D14">
        <v>5002</v>
      </c>
    </row>
    <row r="15" spans="2:4" x14ac:dyDescent="0.15">
      <c r="B15" s="4">
        <v>42749</v>
      </c>
      <c r="C15">
        <v>3338</v>
      </c>
      <c r="D15">
        <v>4899</v>
      </c>
    </row>
    <row r="16" spans="2:4" x14ac:dyDescent="0.15">
      <c r="B16" s="4">
        <v>42750</v>
      </c>
      <c r="C16">
        <v>3603</v>
      </c>
      <c r="D16">
        <v>4678</v>
      </c>
    </row>
    <row r="17" spans="2:4" x14ac:dyDescent="0.15">
      <c r="B17" s="4">
        <v>42751</v>
      </c>
      <c r="C17">
        <v>3974</v>
      </c>
      <c r="D17">
        <v>5545</v>
      </c>
    </row>
    <row r="18" spans="2:4" x14ac:dyDescent="0.15">
      <c r="B18" s="4">
        <v>42752</v>
      </c>
      <c r="C18">
        <v>3622</v>
      </c>
      <c r="D18">
        <v>4666</v>
      </c>
    </row>
    <row r="19" spans="2:4" x14ac:dyDescent="0.15">
      <c r="B19" s="4">
        <v>42753</v>
      </c>
      <c r="C19">
        <v>3414</v>
      </c>
      <c r="D19">
        <v>4739</v>
      </c>
    </row>
    <row r="20" spans="2:4" x14ac:dyDescent="0.15">
      <c r="B20" s="4">
        <v>42754</v>
      </c>
      <c r="C20">
        <v>3317</v>
      </c>
      <c r="D20">
        <v>5100</v>
      </c>
    </row>
    <row r="21" spans="2:4" x14ac:dyDescent="0.15">
      <c r="B21" s="4">
        <v>42755</v>
      </c>
      <c r="C21">
        <v>3169</v>
      </c>
      <c r="D21">
        <v>5335</v>
      </c>
    </row>
    <row r="22" spans="2:4" x14ac:dyDescent="0.15">
      <c r="B22" s="4">
        <v>42756</v>
      </c>
      <c r="C22">
        <v>3577</v>
      </c>
      <c r="D22">
        <v>4676</v>
      </c>
    </row>
    <row r="23" spans="2:4" x14ac:dyDescent="0.15">
      <c r="B23" s="4">
        <v>42757</v>
      </c>
      <c r="C23">
        <v>3625</v>
      </c>
      <c r="D23">
        <v>5419</v>
      </c>
    </row>
    <row r="24" spans="2:4" x14ac:dyDescent="0.15">
      <c r="B24" s="4">
        <v>42758</v>
      </c>
      <c r="C24">
        <v>3585</v>
      </c>
      <c r="D24">
        <v>5370</v>
      </c>
    </row>
    <row r="25" spans="2:4" x14ac:dyDescent="0.15">
      <c r="B25" s="4">
        <v>42759</v>
      </c>
      <c r="C25">
        <v>3320</v>
      </c>
      <c r="D25">
        <v>5130</v>
      </c>
    </row>
    <row r="26" spans="2:4" x14ac:dyDescent="0.15">
      <c r="B26" s="4">
        <v>42760</v>
      </c>
      <c r="C26">
        <v>3198</v>
      </c>
      <c r="D26">
        <v>5141</v>
      </c>
    </row>
    <row r="27" spans="2:4" x14ac:dyDescent="0.15">
      <c r="B27" s="4">
        <v>42761</v>
      </c>
      <c r="C27">
        <v>3800</v>
      </c>
      <c r="D27">
        <v>4636</v>
      </c>
    </row>
    <row r="28" spans="2:4" x14ac:dyDescent="0.15">
      <c r="B28" s="4">
        <v>42762</v>
      </c>
      <c r="C28">
        <v>3291</v>
      </c>
      <c r="D28">
        <v>5135</v>
      </c>
    </row>
    <row r="29" spans="2:4" x14ac:dyDescent="0.15">
      <c r="B29" s="4">
        <v>42763</v>
      </c>
      <c r="C29">
        <v>3390</v>
      </c>
      <c r="D29">
        <v>5420</v>
      </c>
    </row>
    <row r="30" spans="2:4" x14ac:dyDescent="0.15">
      <c r="B30" s="4">
        <v>42764</v>
      </c>
      <c r="C30">
        <v>4045</v>
      </c>
      <c r="D30">
        <v>4774</v>
      </c>
    </row>
    <row r="31" spans="2:4" x14ac:dyDescent="0.15">
      <c r="B31" s="4">
        <v>42765</v>
      </c>
      <c r="C31">
        <v>3236</v>
      </c>
      <c r="D31">
        <v>4672</v>
      </c>
    </row>
    <row r="32" spans="2:4" x14ac:dyDescent="0.15">
      <c r="B32" s="4">
        <v>42766</v>
      </c>
      <c r="C32">
        <v>3508</v>
      </c>
      <c r="D32">
        <v>4901</v>
      </c>
    </row>
    <row r="33" spans="2:4" x14ac:dyDescent="0.15">
      <c r="B33" s="4">
        <v>42767</v>
      </c>
      <c r="C33">
        <v>3666</v>
      </c>
      <c r="D33">
        <v>5383</v>
      </c>
    </row>
    <row r="34" spans="2:4" x14ac:dyDescent="0.15">
      <c r="B34" s="4"/>
    </row>
    <row r="35" spans="2:4" x14ac:dyDescent="0.15">
      <c r="B35" s="4"/>
    </row>
    <row r="36" spans="2:4" x14ac:dyDescent="0.15">
      <c r="B36" s="4"/>
    </row>
    <row r="37" spans="2:4" x14ac:dyDescent="0.15">
      <c r="B37" s="4"/>
    </row>
    <row r="38" spans="2:4" x14ac:dyDescent="0.15">
      <c r="B38" s="4"/>
    </row>
    <row r="39" spans="2:4" x14ac:dyDescent="0.15">
      <c r="B39" s="4"/>
    </row>
    <row r="40" spans="2:4" x14ac:dyDescent="0.15">
      <c r="B40" s="4"/>
    </row>
    <row r="41" spans="2:4" x14ac:dyDescent="0.15">
      <c r="B41" s="4"/>
    </row>
    <row r="42" spans="2:4" x14ac:dyDescent="0.15">
      <c r="B42" s="4"/>
    </row>
    <row r="43" spans="2:4" x14ac:dyDescent="0.15">
      <c r="B43" s="4"/>
    </row>
    <row r="44" spans="2:4" x14ac:dyDescent="0.15">
      <c r="B44" s="4"/>
    </row>
    <row r="45" spans="2:4" x14ac:dyDescent="0.15">
      <c r="B45" s="4"/>
    </row>
    <row r="46" spans="2:4" x14ac:dyDescent="0.15">
      <c r="B46" s="4"/>
    </row>
    <row r="47" spans="2:4" x14ac:dyDescent="0.15">
      <c r="B47" s="4"/>
    </row>
    <row r="48" spans="2:4" x14ac:dyDescent="0.15">
      <c r="B48" s="4"/>
    </row>
    <row r="49" spans="2:2" x14ac:dyDescent="0.15">
      <c r="B49" s="4"/>
    </row>
    <row r="50" spans="2:2" x14ac:dyDescent="0.15">
      <c r="B50" s="4"/>
    </row>
    <row r="51" spans="2:2" x14ac:dyDescent="0.15">
      <c r="B51" s="4"/>
    </row>
    <row r="52" spans="2:2" x14ac:dyDescent="0.15">
      <c r="B52" s="4"/>
    </row>
    <row r="53" spans="2:2" x14ac:dyDescent="0.15">
      <c r="B53" s="4"/>
    </row>
    <row r="54" spans="2:2" x14ac:dyDescent="0.15">
      <c r="B54" s="4"/>
    </row>
    <row r="55" spans="2:2" x14ac:dyDescent="0.15">
      <c r="B55" s="4"/>
    </row>
    <row r="56" spans="2:2" x14ac:dyDescent="0.15">
      <c r="B56" s="4"/>
    </row>
    <row r="57" spans="2:2" x14ac:dyDescent="0.15">
      <c r="B57" s="4"/>
    </row>
    <row r="58" spans="2:2" x14ac:dyDescent="0.15">
      <c r="B58" s="4"/>
    </row>
    <row r="59" spans="2:2" x14ac:dyDescent="0.15">
      <c r="B59" s="4"/>
    </row>
    <row r="60" spans="2:2" x14ac:dyDescent="0.15">
      <c r="B60" s="4"/>
    </row>
    <row r="61" spans="2:2" x14ac:dyDescent="0.15">
      <c r="B61" s="4"/>
    </row>
    <row r="62" spans="2:2" x14ac:dyDescent="0.15">
      <c r="B62" s="4"/>
    </row>
    <row r="63" spans="2:2" x14ac:dyDescent="0.15">
      <c r="B63" s="4"/>
    </row>
    <row r="64" spans="2:2" x14ac:dyDescent="0.15">
      <c r="B64" s="4"/>
    </row>
    <row r="65" spans="2:2" x14ac:dyDescent="0.15">
      <c r="B65" s="4"/>
    </row>
    <row r="66" spans="2:2" x14ac:dyDescent="0.15">
      <c r="B66" s="4"/>
    </row>
    <row r="67" spans="2:2" x14ac:dyDescent="0.15">
      <c r="B67" s="4"/>
    </row>
    <row r="68" spans="2:2" x14ac:dyDescent="0.15">
      <c r="B68" s="4"/>
    </row>
    <row r="69" spans="2:2" x14ac:dyDescent="0.15">
      <c r="B69" s="4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7" workbookViewId="0">
      <selection activeCell="H20" sqref="H20"/>
    </sheetView>
  </sheetViews>
  <sheetFormatPr defaultRowHeight="13.5" x14ac:dyDescent="0.15"/>
  <cols>
    <col min="1" max="1" width="10.5" bestFit="1" customWidth="1"/>
    <col min="3" max="3" width="12.75" bestFit="1" customWidth="1"/>
    <col min="4" max="4" width="17.25" bestFit="1" customWidth="1"/>
    <col min="5" max="5" width="15.125" bestFit="1" customWidth="1"/>
    <col min="6" max="6" width="13" bestFit="1" customWidth="1"/>
    <col min="7" max="7" width="11.125" bestFit="1" customWidth="1"/>
    <col min="8" max="11" width="13" bestFit="1" customWidth="1"/>
  </cols>
  <sheetData>
    <row r="1" spans="1:11" ht="15.7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" t="s">
        <v>10</v>
      </c>
    </row>
    <row r="2" spans="1:11" ht="15.75" x14ac:dyDescent="0.15">
      <c r="A2" s="3">
        <v>42852</v>
      </c>
      <c r="B2" s="2" t="s">
        <v>11</v>
      </c>
      <c r="C2" s="2" t="s">
        <v>12</v>
      </c>
      <c r="D2" s="2">
        <v>2694</v>
      </c>
      <c r="E2" s="2">
        <v>2001</v>
      </c>
      <c r="F2" s="2">
        <v>807</v>
      </c>
      <c r="G2" s="2">
        <v>228</v>
      </c>
      <c r="H2" s="2">
        <v>34</v>
      </c>
      <c r="I2" s="2">
        <v>663</v>
      </c>
      <c r="J2" s="2">
        <v>41</v>
      </c>
      <c r="K2" s="2">
        <v>449</v>
      </c>
    </row>
    <row r="3" spans="1:11" ht="15.75" x14ac:dyDescent="0.15">
      <c r="A3" s="3">
        <v>42853</v>
      </c>
      <c r="B3" s="2" t="s">
        <v>11</v>
      </c>
      <c r="C3" s="2" t="s">
        <v>12</v>
      </c>
      <c r="D3" s="2">
        <v>6553</v>
      </c>
      <c r="E3" s="2">
        <v>4710</v>
      </c>
      <c r="F3" s="2">
        <v>2479</v>
      </c>
      <c r="G3" s="2">
        <v>755</v>
      </c>
      <c r="H3" s="2">
        <v>61</v>
      </c>
      <c r="I3" s="2">
        <v>1548</v>
      </c>
      <c r="J3" s="2">
        <v>116</v>
      </c>
      <c r="K3" s="2">
        <v>953</v>
      </c>
    </row>
    <row r="4" spans="1:11" ht="15.75" x14ac:dyDescent="0.15">
      <c r="A4" s="3">
        <v>42854</v>
      </c>
      <c r="B4" s="2" t="s">
        <v>11</v>
      </c>
      <c r="C4" s="2" t="s">
        <v>12</v>
      </c>
      <c r="D4" s="2">
        <v>5777</v>
      </c>
      <c r="E4" s="2">
        <v>4002</v>
      </c>
      <c r="F4" s="2">
        <v>2389</v>
      </c>
      <c r="G4" s="2">
        <v>669</v>
      </c>
      <c r="H4" s="2">
        <v>43</v>
      </c>
      <c r="I4" s="2">
        <v>1291</v>
      </c>
      <c r="J4" s="2">
        <v>67</v>
      </c>
      <c r="K4" s="2">
        <v>749</v>
      </c>
    </row>
    <row r="5" spans="1:11" ht="15.75" x14ac:dyDescent="0.15">
      <c r="A5" s="3">
        <v>42855</v>
      </c>
      <c r="B5" s="2" t="s">
        <v>11</v>
      </c>
      <c r="C5" s="2" t="s">
        <v>12</v>
      </c>
      <c r="D5" s="2">
        <v>5373</v>
      </c>
      <c r="E5" s="2">
        <v>3711</v>
      </c>
      <c r="F5" s="2">
        <v>2124</v>
      </c>
      <c r="G5" s="2">
        <v>439</v>
      </c>
      <c r="H5" s="2">
        <v>41</v>
      </c>
      <c r="I5" s="2">
        <v>1366</v>
      </c>
      <c r="J5" s="2">
        <v>76</v>
      </c>
      <c r="K5" s="2">
        <v>775</v>
      </c>
    </row>
    <row r="6" spans="1:11" ht="15.75" x14ac:dyDescent="0.15">
      <c r="A6" s="3">
        <v>42856</v>
      </c>
      <c r="B6" s="2" t="s">
        <v>11</v>
      </c>
      <c r="C6" s="2" t="s">
        <v>12</v>
      </c>
      <c r="D6" s="2">
        <v>5733</v>
      </c>
      <c r="E6" s="2">
        <v>3933</v>
      </c>
      <c r="F6" s="2">
        <v>2301</v>
      </c>
      <c r="G6" s="2">
        <v>433</v>
      </c>
      <c r="H6" s="2">
        <v>56</v>
      </c>
      <c r="I6" s="2">
        <v>1392</v>
      </c>
      <c r="J6" s="2">
        <v>58</v>
      </c>
      <c r="K6" s="2">
        <v>896</v>
      </c>
    </row>
    <row r="7" spans="1:11" ht="15.75" x14ac:dyDescent="0.15">
      <c r="A7" s="3">
        <v>42857</v>
      </c>
      <c r="B7" s="2" t="s">
        <v>11</v>
      </c>
      <c r="C7" s="2" t="s">
        <v>12</v>
      </c>
      <c r="D7" s="2">
        <v>8681</v>
      </c>
      <c r="E7" s="2">
        <v>6641</v>
      </c>
      <c r="F7" s="2">
        <v>2817</v>
      </c>
      <c r="G7" s="2">
        <v>839</v>
      </c>
      <c r="H7" s="2">
        <v>161</v>
      </c>
      <c r="I7" s="2">
        <v>2328</v>
      </c>
      <c r="J7" s="2">
        <v>240</v>
      </c>
      <c r="K7" s="2">
        <v>1278</v>
      </c>
    </row>
    <row r="8" spans="1:11" ht="15.75" x14ac:dyDescent="0.15">
      <c r="A8" s="3">
        <v>42858</v>
      </c>
      <c r="B8" s="2" t="s">
        <v>11</v>
      </c>
      <c r="C8" s="2" t="s">
        <v>12</v>
      </c>
      <c r="D8" s="2">
        <v>10130</v>
      </c>
      <c r="E8" s="2">
        <v>7763</v>
      </c>
      <c r="F8" s="2">
        <v>3314</v>
      </c>
      <c r="G8" s="2">
        <v>943</v>
      </c>
      <c r="H8" s="2">
        <v>175</v>
      </c>
      <c r="I8" s="2">
        <v>2837</v>
      </c>
      <c r="J8" s="2">
        <v>303</v>
      </c>
      <c r="K8" s="2">
        <v>1418</v>
      </c>
    </row>
    <row r="9" spans="1:11" ht="15.75" x14ac:dyDescent="0.15">
      <c r="A9" s="3">
        <v>42859</v>
      </c>
      <c r="B9" s="2" t="s">
        <v>11</v>
      </c>
      <c r="C9" s="2" t="s">
        <v>12</v>
      </c>
      <c r="D9" s="2">
        <v>10213</v>
      </c>
      <c r="E9" s="2">
        <v>7668</v>
      </c>
      <c r="F9" s="2">
        <v>3419</v>
      </c>
      <c r="G9" s="2">
        <v>944</v>
      </c>
      <c r="H9" s="2">
        <v>151</v>
      </c>
      <c r="I9" s="2">
        <v>2740</v>
      </c>
      <c r="J9" s="2">
        <v>257</v>
      </c>
      <c r="K9" s="2">
        <v>1478</v>
      </c>
    </row>
    <row r="10" spans="1:11" ht="15.75" x14ac:dyDescent="0.15">
      <c r="A10" s="3">
        <v>42860</v>
      </c>
      <c r="B10" s="2" t="s">
        <v>11</v>
      </c>
      <c r="C10" s="2" t="s">
        <v>12</v>
      </c>
      <c r="D10" s="2">
        <v>9722</v>
      </c>
      <c r="E10" s="2">
        <v>7343</v>
      </c>
      <c r="F10" s="2">
        <v>3086</v>
      </c>
      <c r="G10" s="2">
        <v>856</v>
      </c>
      <c r="H10" s="2">
        <v>155</v>
      </c>
      <c r="I10" s="2">
        <v>2692</v>
      </c>
      <c r="J10" s="2">
        <v>224</v>
      </c>
      <c r="K10" s="2">
        <v>1434</v>
      </c>
    </row>
    <row r="13" spans="1:11" x14ac:dyDescent="0.15">
      <c r="B13" s="9" t="s">
        <v>77</v>
      </c>
      <c r="C13" s="9" t="s">
        <v>78</v>
      </c>
      <c r="D13" s="10"/>
      <c r="E13" s="10"/>
      <c r="F13" s="10"/>
    </row>
    <row r="14" spans="1:11" x14ac:dyDescent="0.15">
      <c r="B14" s="9" t="s">
        <v>38</v>
      </c>
      <c r="C14" s="9">
        <v>300</v>
      </c>
      <c r="D14" s="10"/>
      <c r="E14" s="10"/>
      <c r="F14" s="10"/>
    </row>
    <row r="15" spans="1:11" x14ac:dyDescent="0.15">
      <c r="B15" s="9" t="s">
        <v>82</v>
      </c>
      <c r="C15" s="9">
        <v>500</v>
      </c>
      <c r="D15" s="10"/>
      <c r="E15" s="10"/>
      <c r="F15" s="10"/>
    </row>
    <row r="16" spans="1:11" x14ac:dyDescent="0.15">
      <c r="B16" s="9" t="s">
        <v>83</v>
      </c>
      <c r="C16" s="9">
        <v>600</v>
      </c>
      <c r="D16" s="10"/>
      <c r="E16" s="10"/>
      <c r="F16" s="10"/>
    </row>
    <row r="17" spans="2:6" x14ac:dyDescent="0.15">
      <c r="B17" s="9" t="s">
        <v>81</v>
      </c>
      <c r="C17" s="9">
        <v>15</v>
      </c>
      <c r="D17" s="10"/>
      <c r="E17" s="10"/>
      <c r="F17" s="10"/>
    </row>
    <row r="18" spans="2:6" x14ac:dyDescent="0.15">
      <c r="B18" s="9" t="s">
        <v>84</v>
      </c>
      <c r="C18" s="9">
        <v>10</v>
      </c>
      <c r="D18" s="10"/>
      <c r="E18" s="10"/>
      <c r="F18" s="10"/>
    </row>
    <row r="19" spans="2:6" x14ac:dyDescent="0.15">
      <c r="B19" s="9" t="s">
        <v>85</v>
      </c>
      <c r="C19" s="9"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9"/>
  <sheetViews>
    <sheetView workbookViewId="0">
      <selection activeCell="O15" sqref="O15"/>
    </sheetView>
  </sheetViews>
  <sheetFormatPr defaultRowHeight="13.5" x14ac:dyDescent="0.15"/>
  <cols>
    <col min="2" max="2" width="13.875" bestFit="1" customWidth="1"/>
    <col min="3" max="3" width="12.75" bestFit="1" customWidth="1"/>
    <col min="4" max="4" width="11.625" bestFit="1" customWidth="1"/>
  </cols>
  <sheetData>
    <row r="1" spans="2:4" x14ac:dyDescent="0.15">
      <c r="C1" t="s">
        <v>71</v>
      </c>
      <c r="D1" t="s">
        <v>72</v>
      </c>
    </row>
    <row r="2" spans="2:4" x14ac:dyDescent="0.15">
      <c r="B2" s="4">
        <v>42736</v>
      </c>
      <c r="C2">
        <v>3078</v>
      </c>
      <c r="D2">
        <v>4590</v>
      </c>
    </row>
    <row r="3" spans="2:4" x14ac:dyDescent="0.15">
      <c r="B3" s="4">
        <v>42737</v>
      </c>
      <c r="C3">
        <v>3844</v>
      </c>
      <c r="D3">
        <v>5587</v>
      </c>
    </row>
    <row r="4" spans="2:4" x14ac:dyDescent="0.15">
      <c r="B4" s="4">
        <v>42738</v>
      </c>
      <c r="C4">
        <v>3348</v>
      </c>
      <c r="D4">
        <v>5526</v>
      </c>
    </row>
    <row r="5" spans="2:4" x14ac:dyDescent="0.15">
      <c r="B5" s="4">
        <v>42739</v>
      </c>
      <c r="C5">
        <v>3254</v>
      </c>
      <c r="D5">
        <v>5228</v>
      </c>
    </row>
    <row r="6" spans="2:4" x14ac:dyDescent="0.15">
      <c r="B6" s="4">
        <v>42740</v>
      </c>
      <c r="C6">
        <v>3259</v>
      </c>
      <c r="D6">
        <v>4894</v>
      </c>
    </row>
    <row r="7" spans="2:4" x14ac:dyDescent="0.15">
      <c r="B7" s="4">
        <v>42741</v>
      </c>
      <c r="C7">
        <v>3750</v>
      </c>
      <c r="D7">
        <v>4661</v>
      </c>
    </row>
    <row r="8" spans="2:4" x14ac:dyDescent="0.15">
      <c r="B8" s="4">
        <v>42742</v>
      </c>
      <c r="C8">
        <v>4011</v>
      </c>
      <c r="D8">
        <v>5572</v>
      </c>
    </row>
    <row r="9" spans="2:4" x14ac:dyDescent="0.15">
      <c r="B9" s="4">
        <v>42743</v>
      </c>
      <c r="C9">
        <v>3739</v>
      </c>
      <c r="D9">
        <v>5045</v>
      </c>
    </row>
    <row r="10" spans="2:4" x14ac:dyDescent="0.15">
      <c r="B10" s="4">
        <v>42744</v>
      </c>
      <c r="C10">
        <v>3399</v>
      </c>
      <c r="D10">
        <v>4893</v>
      </c>
    </row>
    <row r="11" spans="2:4" x14ac:dyDescent="0.15">
      <c r="B11" s="4">
        <v>42745</v>
      </c>
      <c r="C11">
        <v>4006</v>
      </c>
      <c r="D11">
        <v>5351</v>
      </c>
    </row>
    <row r="12" spans="2:4" x14ac:dyDescent="0.15">
      <c r="B12" s="4">
        <v>42746</v>
      </c>
      <c r="C12">
        <v>3825</v>
      </c>
      <c r="D12">
        <v>4882</v>
      </c>
    </row>
    <row r="13" spans="2:4" x14ac:dyDescent="0.15">
      <c r="B13" s="4">
        <v>42747</v>
      </c>
      <c r="C13">
        <v>3432</v>
      </c>
      <c r="D13">
        <v>5390</v>
      </c>
    </row>
    <row r="14" spans="2:4" x14ac:dyDescent="0.15">
      <c r="B14" s="4">
        <v>42748</v>
      </c>
      <c r="C14">
        <v>3944</v>
      </c>
      <c r="D14">
        <v>5002</v>
      </c>
    </row>
    <row r="15" spans="2:4" x14ac:dyDescent="0.15">
      <c r="B15" s="4">
        <v>42749</v>
      </c>
      <c r="C15">
        <v>3338</v>
      </c>
      <c r="D15">
        <v>4899</v>
      </c>
    </row>
    <row r="16" spans="2:4" x14ac:dyDescent="0.15">
      <c r="B16" s="4">
        <v>42750</v>
      </c>
      <c r="C16">
        <v>3603</v>
      </c>
      <c r="D16">
        <v>4678</v>
      </c>
    </row>
    <row r="17" spans="2:4" x14ac:dyDescent="0.15">
      <c r="B17" s="4">
        <v>42751</v>
      </c>
      <c r="C17">
        <v>3974</v>
      </c>
      <c r="D17">
        <v>5545</v>
      </c>
    </row>
    <row r="18" spans="2:4" x14ac:dyDescent="0.15">
      <c r="B18" s="4">
        <v>42752</v>
      </c>
      <c r="C18">
        <v>3622</v>
      </c>
      <c r="D18">
        <v>4666</v>
      </c>
    </row>
    <row r="19" spans="2:4" x14ac:dyDescent="0.15">
      <c r="B19" s="4">
        <v>42753</v>
      </c>
      <c r="C19">
        <v>3414</v>
      </c>
      <c r="D19">
        <v>4739</v>
      </c>
    </row>
    <row r="20" spans="2:4" x14ac:dyDescent="0.15">
      <c r="B20" s="4">
        <v>42754</v>
      </c>
      <c r="C20">
        <v>3317</v>
      </c>
      <c r="D20">
        <v>5100</v>
      </c>
    </row>
    <row r="21" spans="2:4" x14ac:dyDescent="0.15">
      <c r="B21" s="4">
        <v>42755</v>
      </c>
      <c r="C21">
        <v>3169</v>
      </c>
      <c r="D21">
        <v>5335</v>
      </c>
    </row>
    <row r="22" spans="2:4" x14ac:dyDescent="0.15">
      <c r="B22" s="4">
        <v>42756</v>
      </c>
      <c r="C22">
        <v>3577</v>
      </c>
      <c r="D22">
        <v>4676</v>
      </c>
    </row>
    <row r="23" spans="2:4" x14ac:dyDescent="0.15">
      <c r="B23" s="4">
        <v>42757</v>
      </c>
      <c r="C23">
        <v>3625</v>
      </c>
      <c r="D23">
        <v>5419</v>
      </c>
    </row>
    <row r="24" spans="2:4" x14ac:dyDescent="0.15">
      <c r="B24" s="4">
        <v>42758</v>
      </c>
      <c r="C24">
        <v>3585</v>
      </c>
      <c r="D24">
        <v>5370</v>
      </c>
    </row>
    <row r="25" spans="2:4" x14ac:dyDescent="0.15">
      <c r="B25" s="4">
        <v>42759</v>
      </c>
      <c r="C25">
        <v>3320</v>
      </c>
      <c r="D25">
        <v>5130</v>
      </c>
    </row>
    <row r="26" spans="2:4" x14ac:dyDescent="0.15">
      <c r="B26" s="4">
        <v>42760</v>
      </c>
      <c r="C26">
        <v>3198</v>
      </c>
      <c r="D26">
        <v>5141</v>
      </c>
    </row>
    <row r="27" spans="2:4" x14ac:dyDescent="0.15">
      <c r="B27" s="4">
        <v>42761</v>
      </c>
      <c r="C27">
        <v>3800</v>
      </c>
      <c r="D27">
        <v>4636</v>
      </c>
    </row>
    <row r="28" spans="2:4" x14ac:dyDescent="0.15">
      <c r="B28" s="4">
        <v>42762</v>
      </c>
      <c r="C28">
        <v>3291</v>
      </c>
      <c r="D28">
        <v>5135</v>
      </c>
    </row>
    <row r="29" spans="2:4" x14ac:dyDescent="0.15">
      <c r="B29" s="4">
        <v>42763</v>
      </c>
      <c r="C29">
        <v>3390</v>
      </c>
      <c r="D29">
        <v>5420</v>
      </c>
    </row>
    <row r="30" spans="2:4" x14ac:dyDescent="0.15">
      <c r="B30" s="4">
        <v>42764</v>
      </c>
      <c r="C30">
        <v>4045</v>
      </c>
      <c r="D30">
        <v>4774</v>
      </c>
    </row>
    <row r="31" spans="2:4" x14ac:dyDescent="0.15">
      <c r="B31" s="4">
        <v>42765</v>
      </c>
      <c r="C31">
        <v>3236</v>
      </c>
      <c r="D31">
        <v>4672</v>
      </c>
    </row>
    <row r="32" spans="2:4" x14ac:dyDescent="0.15">
      <c r="B32" s="4">
        <v>42766</v>
      </c>
      <c r="C32">
        <v>3508</v>
      </c>
      <c r="D32">
        <v>4901</v>
      </c>
    </row>
    <row r="33" spans="2:4" x14ac:dyDescent="0.15">
      <c r="B33" s="4">
        <v>42767</v>
      </c>
      <c r="C33">
        <v>3666</v>
      </c>
      <c r="D33">
        <v>5383</v>
      </c>
    </row>
    <row r="34" spans="2:4" x14ac:dyDescent="0.15">
      <c r="B34" s="4"/>
    </row>
    <row r="35" spans="2:4" x14ac:dyDescent="0.15">
      <c r="B35" s="4"/>
    </row>
    <row r="36" spans="2:4" x14ac:dyDescent="0.15">
      <c r="B36" s="4"/>
    </row>
    <row r="37" spans="2:4" x14ac:dyDescent="0.15">
      <c r="B37" s="4"/>
    </row>
    <row r="38" spans="2:4" x14ac:dyDescent="0.15">
      <c r="B38" s="4"/>
    </row>
    <row r="39" spans="2:4" x14ac:dyDescent="0.15">
      <c r="B39" s="4"/>
    </row>
    <row r="40" spans="2:4" x14ac:dyDescent="0.15">
      <c r="B40" s="4"/>
    </row>
    <row r="41" spans="2:4" x14ac:dyDescent="0.15">
      <c r="B41" s="4"/>
    </row>
    <row r="42" spans="2:4" x14ac:dyDescent="0.15">
      <c r="B42" s="4"/>
    </row>
    <row r="43" spans="2:4" x14ac:dyDescent="0.15">
      <c r="B43" s="4"/>
    </row>
    <row r="44" spans="2:4" x14ac:dyDescent="0.15">
      <c r="B44" s="4"/>
    </row>
    <row r="45" spans="2:4" x14ac:dyDescent="0.15">
      <c r="B45" s="4"/>
    </row>
    <row r="46" spans="2:4" x14ac:dyDescent="0.15">
      <c r="B46" s="4"/>
    </row>
    <row r="47" spans="2:4" x14ac:dyDescent="0.15">
      <c r="B47" s="4"/>
    </row>
    <row r="48" spans="2:4" x14ac:dyDescent="0.15">
      <c r="B48" s="4"/>
    </row>
    <row r="49" spans="2:2" x14ac:dyDescent="0.15">
      <c r="B49" s="4"/>
    </row>
    <row r="50" spans="2:2" x14ac:dyDescent="0.15">
      <c r="B50" s="4"/>
    </row>
    <row r="51" spans="2:2" x14ac:dyDescent="0.15">
      <c r="B51" s="4"/>
    </row>
    <row r="52" spans="2:2" x14ac:dyDescent="0.15">
      <c r="B52" s="4"/>
    </row>
    <row r="53" spans="2:2" x14ac:dyDescent="0.15">
      <c r="B53" s="4"/>
    </row>
    <row r="54" spans="2:2" x14ac:dyDescent="0.15">
      <c r="B54" s="4"/>
    </row>
    <row r="55" spans="2:2" x14ac:dyDescent="0.15">
      <c r="B55" s="4"/>
    </row>
    <row r="56" spans="2:2" x14ac:dyDescent="0.15">
      <c r="B56" s="4"/>
    </row>
    <row r="57" spans="2:2" x14ac:dyDescent="0.15">
      <c r="B57" s="4"/>
    </row>
    <row r="58" spans="2:2" x14ac:dyDescent="0.15">
      <c r="B58" s="4"/>
    </row>
    <row r="59" spans="2:2" x14ac:dyDescent="0.15">
      <c r="B59" s="4"/>
    </row>
    <row r="60" spans="2:2" x14ac:dyDescent="0.15">
      <c r="B60" s="4"/>
    </row>
    <row r="61" spans="2:2" x14ac:dyDescent="0.15">
      <c r="B61" s="4"/>
    </row>
    <row r="62" spans="2:2" x14ac:dyDescent="0.15">
      <c r="B62" s="4"/>
    </row>
    <row r="63" spans="2:2" x14ac:dyDescent="0.15">
      <c r="B63" s="4"/>
    </row>
    <row r="64" spans="2:2" x14ac:dyDescent="0.15">
      <c r="B64" s="4"/>
    </row>
    <row r="65" spans="2:2" x14ac:dyDescent="0.15">
      <c r="B65" s="4"/>
    </row>
    <row r="66" spans="2:2" x14ac:dyDescent="0.15">
      <c r="B66" s="4"/>
    </row>
    <row r="67" spans="2:2" x14ac:dyDescent="0.15">
      <c r="B67" s="4"/>
    </row>
    <row r="68" spans="2:2" x14ac:dyDescent="0.15">
      <c r="B68" s="4"/>
    </row>
    <row r="69" spans="2:2" x14ac:dyDescent="0.15">
      <c r="B69" s="4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zoomScaleNormal="100" workbookViewId="0">
      <selection activeCell="I13" sqref="I13"/>
    </sheetView>
  </sheetViews>
  <sheetFormatPr defaultRowHeight="13.5" x14ac:dyDescent="0.15"/>
  <cols>
    <col min="1" max="2" width="13.875" bestFit="1" customWidth="1"/>
  </cols>
  <sheetData>
    <row r="1" spans="1:13" x14ac:dyDescent="0.15">
      <c r="B1" s="12" t="s">
        <v>26</v>
      </c>
      <c r="C1" s="12" t="s">
        <v>28</v>
      </c>
      <c r="D1" s="12" t="s">
        <v>37</v>
      </c>
      <c r="E1" s="12" t="s">
        <v>31</v>
      </c>
      <c r="F1" s="12" t="s">
        <v>33</v>
      </c>
      <c r="G1" s="12" t="s">
        <v>35</v>
      </c>
      <c r="K1" t="s">
        <v>87</v>
      </c>
      <c r="L1" t="s">
        <v>86</v>
      </c>
      <c r="M1" t="s">
        <v>87</v>
      </c>
    </row>
    <row r="2" spans="1:13" x14ac:dyDescent="0.15">
      <c r="B2" s="13">
        <v>42736</v>
      </c>
      <c r="C2" s="12">
        <v>10000</v>
      </c>
      <c r="D2" s="12">
        <v>8000</v>
      </c>
      <c r="E2" s="12">
        <v>5000</v>
      </c>
      <c r="F2" s="12">
        <v>1000</v>
      </c>
      <c r="G2" s="12">
        <v>500</v>
      </c>
      <c r="J2" s="12" t="s">
        <v>28</v>
      </c>
      <c r="K2" s="5">
        <f>(MAX($L$2:$L$6)+1000-$L2)/2</f>
        <v>500</v>
      </c>
      <c r="L2" s="5">
        <v>44147</v>
      </c>
      <c r="M2" s="5">
        <f>(MAX($L$2:$L$6)+1000-$L2)/2</f>
        <v>500</v>
      </c>
    </row>
    <row r="3" spans="1:13" x14ac:dyDescent="0.15">
      <c r="B3" s="13">
        <v>42737</v>
      </c>
      <c r="C3" s="12">
        <v>10917</v>
      </c>
      <c r="D3" s="12">
        <v>8207</v>
      </c>
      <c r="E3" s="12">
        <v>5813</v>
      </c>
      <c r="F3" s="12">
        <v>1180</v>
      </c>
      <c r="G3" s="12">
        <v>982</v>
      </c>
      <c r="J3" s="12" t="s">
        <v>37</v>
      </c>
      <c r="K3" s="5">
        <f t="shared" ref="K3:K6" si="0">(MAX($L$2:$L$6)+1000-$L3)/2</f>
        <v>5649.5</v>
      </c>
      <c r="L3" s="5">
        <v>33848</v>
      </c>
      <c r="M3" s="5">
        <f t="shared" ref="M3:M6" si="1">(MAX($L$2:$L$6)+1000-$L3)/2</f>
        <v>5649.5</v>
      </c>
    </row>
    <row r="4" spans="1:13" x14ac:dyDescent="0.15">
      <c r="B4" s="13">
        <v>42738</v>
      </c>
      <c r="C4" s="12">
        <v>11506</v>
      </c>
      <c r="D4" s="12">
        <v>8527</v>
      </c>
      <c r="E4" s="12">
        <v>5837</v>
      </c>
      <c r="F4" s="12">
        <v>1469</v>
      </c>
      <c r="G4" s="12">
        <v>1287</v>
      </c>
      <c r="J4" s="12" t="s">
        <v>31</v>
      </c>
      <c r="K4" s="5">
        <f t="shared" si="0"/>
        <v>10833.5</v>
      </c>
      <c r="L4" s="5">
        <v>23480</v>
      </c>
      <c r="M4" s="5">
        <f t="shared" si="1"/>
        <v>10833.5</v>
      </c>
    </row>
    <row r="5" spans="1:13" x14ac:dyDescent="0.15">
      <c r="B5" s="13">
        <v>42739</v>
      </c>
      <c r="C5" s="12">
        <v>11724</v>
      </c>
      <c r="D5" s="12">
        <v>9114</v>
      </c>
      <c r="E5" s="12">
        <v>6830</v>
      </c>
      <c r="F5" s="12">
        <v>1579</v>
      </c>
      <c r="G5" s="12">
        <v>1386</v>
      </c>
      <c r="J5" s="12" t="s">
        <v>33</v>
      </c>
      <c r="K5" s="5">
        <f t="shared" si="0"/>
        <v>19959.5</v>
      </c>
      <c r="L5" s="5">
        <v>5228</v>
      </c>
      <c r="M5" s="5">
        <f t="shared" si="1"/>
        <v>19959.5</v>
      </c>
    </row>
    <row r="6" spans="1:13" x14ac:dyDescent="0.15">
      <c r="B6" s="12" t="s">
        <v>36</v>
      </c>
      <c r="C6" s="12">
        <f>SUM(C2:C5)</f>
        <v>44147</v>
      </c>
      <c r="D6" s="12">
        <f t="shared" ref="D6:G6" si="2">SUM(D2:D5)</f>
        <v>33848</v>
      </c>
      <c r="E6" s="12">
        <f t="shared" si="2"/>
        <v>23480</v>
      </c>
      <c r="F6" s="12">
        <f t="shared" si="2"/>
        <v>5228</v>
      </c>
      <c r="G6" s="12">
        <f t="shared" si="2"/>
        <v>4155</v>
      </c>
      <c r="J6" s="12" t="s">
        <v>35</v>
      </c>
      <c r="K6" s="5">
        <f t="shared" si="0"/>
        <v>20496</v>
      </c>
      <c r="L6" s="5">
        <v>4155</v>
      </c>
      <c r="M6" s="5">
        <f t="shared" si="1"/>
        <v>20496</v>
      </c>
    </row>
    <row r="7" spans="1:13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3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3" x14ac:dyDescent="0.15">
      <c r="A10" s="6"/>
      <c r="B10" s="6"/>
      <c r="C10" s="14"/>
      <c r="D10" s="14"/>
      <c r="E10" s="14"/>
      <c r="F10" s="14"/>
      <c r="G10" s="14"/>
      <c r="H10" s="6"/>
      <c r="I10" s="6"/>
      <c r="J10" s="6"/>
      <c r="K10" s="6"/>
      <c r="L10" s="6"/>
    </row>
    <row r="11" spans="1:13" x14ac:dyDescent="0.15">
      <c r="A11" s="6"/>
      <c r="B11" s="6"/>
      <c r="C11" s="14"/>
      <c r="D11" s="14"/>
      <c r="E11" s="14"/>
      <c r="F11" s="14"/>
      <c r="G11" s="14"/>
      <c r="H11" s="6"/>
      <c r="I11" s="6"/>
      <c r="J11" s="6"/>
      <c r="K11" s="6"/>
      <c r="L11" s="6"/>
    </row>
    <row r="12" spans="1:13" x14ac:dyDescent="0.15">
      <c r="A12" s="6"/>
      <c r="B12" s="6"/>
      <c r="C12" s="14"/>
      <c r="D12" s="14"/>
      <c r="E12" s="14"/>
      <c r="F12" s="14"/>
      <c r="G12" s="14"/>
      <c r="H12" s="6"/>
      <c r="I12" s="6"/>
      <c r="J12" s="6"/>
      <c r="K12" s="6"/>
      <c r="L12" s="6"/>
    </row>
    <row r="13" spans="1:13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3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3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3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topLeftCell="A4" zoomScaleNormal="100" workbookViewId="0">
      <selection activeCell="H14" sqref="H14"/>
    </sheetView>
  </sheetViews>
  <sheetFormatPr defaultRowHeight="13.5" x14ac:dyDescent="0.15"/>
  <cols>
    <col min="1" max="2" width="13.875" bestFit="1" customWidth="1"/>
    <col min="10" max="12" width="10.5" style="5" bestFit="1" customWidth="1"/>
  </cols>
  <sheetData>
    <row r="1" spans="1:20" x14ac:dyDescent="0.15">
      <c r="B1" s="12" t="s">
        <v>26</v>
      </c>
      <c r="C1" s="12" t="s">
        <v>28</v>
      </c>
      <c r="D1" s="12" t="s">
        <v>37</v>
      </c>
      <c r="E1" s="12" t="s">
        <v>31</v>
      </c>
      <c r="F1" s="12" t="s">
        <v>33</v>
      </c>
      <c r="G1" s="12" t="s">
        <v>35</v>
      </c>
      <c r="S1" t="s">
        <v>74</v>
      </c>
      <c r="T1" t="s">
        <v>73</v>
      </c>
    </row>
    <row r="2" spans="1:20" x14ac:dyDescent="0.15">
      <c r="B2" s="13">
        <v>42736</v>
      </c>
      <c r="C2" s="12">
        <v>10000</v>
      </c>
      <c r="D2" s="12">
        <v>8000</v>
      </c>
      <c r="E2" s="12">
        <v>5000</v>
      </c>
      <c r="F2" s="12">
        <v>1000</v>
      </c>
      <c r="G2" s="12">
        <v>500</v>
      </c>
      <c r="I2" t="str">
        <f>C1</f>
        <v>注册</v>
      </c>
      <c r="J2" s="5">
        <f>(MAX($C$6:$G$6)+1000-$K2)/2</f>
        <v>500</v>
      </c>
      <c r="K2" s="5">
        <f>C6</f>
        <v>44147</v>
      </c>
      <c r="L2" s="5">
        <f>(MAX($C$6:$G$6)+1000-$K2)/2</f>
        <v>500</v>
      </c>
      <c r="N2" t="str">
        <f>I2</f>
        <v>注册</v>
      </c>
      <c r="O2" s="5">
        <f>K2</f>
        <v>44147</v>
      </c>
      <c r="P2" s="5">
        <f>MAX($O$2:$O$6)+1000-O2</f>
        <v>1000</v>
      </c>
      <c r="R2" t="s">
        <v>27</v>
      </c>
      <c r="S2" s="5">
        <f>K2</f>
        <v>44147</v>
      </c>
      <c r="T2" s="5">
        <f>MAX($S$2:$S$6)+1000-S2</f>
        <v>1000</v>
      </c>
    </row>
    <row r="3" spans="1:20" x14ac:dyDescent="0.15">
      <c r="B3" s="13">
        <v>42737</v>
      </c>
      <c r="C3" s="12">
        <v>10917</v>
      </c>
      <c r="D3" s="12">
        <v>8207</v>
      </c>
      <c r="E3" s="12">
        <v>5813</v>
      </c>
      <c r="F3" s="12">
        <v>1180</v>
      </c>
      <c r="G3" s="12">
        <v>982</v>
      </c>
      <c r="I3" t="str">
        <f>D1</f>
        <v>托管</v>
      </c>
      <c r="J3" s="5">
        <f t="shared" ref="J3:J6" si="0">(MAX($C$6:$G$6)+1000-$K3)/2</f>
        <v>5649.5</v>
      </c>
      <c r="K3" s="5">
        <f>D6</f>
        <v>33848</v>
      </c>
      <c r="L3" s="5">
        <f t="shared" ref="L3:L6" si="1">(MAX($C$6:$G$6)+1000-$K3)/2</f>
        <v>5649.5</v>
      </c>
      <c r="N3" t="str">
        <f t="shared" ref="N3:N6" si="2">I3</f>
        <v>托管</v>
      </c>
      <c r="O3" s="5">
        <f t="shared" ref="O3:O6" si="3">K3</f>
        <v>33848</v>
      </c>
      <c r="P3" s="5">
        <f t="shared" ref="P3:P6" si="4">MAX($O$2:$O$6)+1000-O3</f>
        <v>11299</v>
      </c>
      <c r="R3" t="s">
        <v>29</v>
      </c>
      <c r="S3" s="5">
        <f t="shared" ref="S3:S6" si="5">K3</f>
        <v>33848</v>
      </c>
      <c r="T3" s="5">
        <f t="shared" ref="T3:T6" si="6">MAX($S$2:$S$6)+1000-S3</f>
        <v>11299</v>
      </c>
    </row>
    <row r="4" spans="1:20" x14ac:dyDescent="0.15">
      <c r="B4" s="13">
        <v>42738</v>
      </c>
      <c r="C4" s="12">
        <v>11506</v>
      </c>
      <c r="D4" s="12">
        <v>8527</v>
      </c>
      <c r="E4" s="12">
        <v>5837</v>
      </c>
      <c r="F4" s="12">
        <v>1469</v>
      </c>
      <c r="G4" s="12">
        <v>1287</v>
      </c>
      <c r="I4" t="str">
        <f>E1</f>
        <v>充值</v>
      </c>
      <c r="J4" s="5">
        <f t="shared" si="0"/>
        <v>10833.5</v>
      </c>
      <c r="K4" s="5">
        <f>E6</f>
        <v>23480</v>
      </c>
      <c r="L4" s="5">
        <f t="shared" si="1"/>
        <v>10833.5</v>
      </c>
      <c r="N4" t="str">
        <f t="shared" si="2"/>
        <v>充值</v>
      </c>
      <c r="O4" s="5">
        <f t="shared" si="3"/>
        <v>23480</v>
      </c>
      <c r="P4" s="5">
        <f t="shared" si="4"/>
        <v>21667</v>
      </c>
      <c r="R4" t="s">
        <v>30</v>
      </c>
      <c r="S4" s="5">
        <f t="shared" si="5"/>
        <v>23480</v>
      </c>
      <c r="T4" s="5">
        <f t="shared" si="6"/>
        <v>21667</v>
      </c>
    </row>
    <row r="5" spans="1:20" x14ac:dyDescent="0.15">
      <c r="B5" s="13">
        <v>42739</v>
      </c>
      <c r="C5" s="12">
        <v>11724</v>
      </c>
      <c r="D5" s="12">
        <v>9114</v>
      </c>
      <c r="E5" s="12">
        <v>6830</v>
      </c>
      <c r="F5" s="12">
        <v>1579</v>
      </c>
      <c r="G5" s="12">
        <v>1386</v>
      </c>
      <c r="I5" t="str">
        <f>F1</f>
        <v>投资</v>
      </c>
      <c r="J5" s="5">
        <f t="shared" si="0"/>
        <v>19959.5</v>
      </c>
      <c r="K5" s="5">
        <f>F6</f>
        <v>5228</v>
      </c>
      <c r="L5" s="5">
        <f t="shared" si="1"/>
        <v>19959.5</v>
      </c>
      <c r="N5" t="str">
        <f t="shared" si="2"/>
        <v>投资</v>
      </c>
      <c r="O5" s="5">
        <f t="shared" si="3"/>
        <v>5228</v>
      </c>
      <c r="P5" s="5">
        <f t="shared" si="4"/>
        <v>39919</v>
      </c>
      <c r="R5" t="s">
        <v>32</v>
      </c>
      <c r="S5" s="5">
        <f t="shared" si="5"/>
        <v>5228</v>
      </c>
      <c r="T5" s="5">
        <f t="shared" si="6"/>
        <v>39919</v>
      </c>
    </row>
    <row r="6" spans="1:20" x14ac:dyDescent="0.15">
      <c r="B6" s="12" t="s">
        <v>36</v>
      </c>
      <c r="C6" s="12">
        <f>SUM(C2:C5)</f>
        <v>44147</v>
      </c>
      <c r="D6" s="12">
        <f t="shared" ref="D6:G6" si="7">SUM(D2:D5)</f>
        <v>33848</v>
      </c>
      <c r="E6" s="12">
        <f t="shared" si="7"/>
        <v>23480</v>
      </c>
      <c r="F6" s="12">
        <f t="shared" si="7"/>
        <v>5228</v>
      </c>
      <c r="G6" s="12">
        <f t="shared" si="7"/>
        <v>4155</v>
      </c>
      <c r="I6" t="str">
        <f>G1</f>
        <v>复投</v>
      </c>
      <c r="J6" s="5">
        <f t="shared" si="0"/>
        <v>20496</v>
      </c>
      <c r="K6" s="5">
        <f>G6</f>
        <v>4155</v>
      </c>
      <c r="L6" s="5">
        <f t="shared" si="1"/>
        <v>20496</v>
      </c>
      <c r="N6" t="str">
        <f t="shared" si="2"/>
        <v>复投</v>
      </c>
      <c r="O6" s="5">
        <f t="shared" si="3"/>
        <v>4155</v>
      </c>
      <c r="P6" s="5">
        <f t="shared" si="4"/>
        <v>40992</v>
      </c>
      <c r="R6" t="s">
        <v>34</v>
      </c>
      <c r="S6" s="5">
        <f t="shared" si="5"/>
        <v>4155</v>
      </c>
      <c r="T6" s="5">
        <f t="shared" si="6"/>
        <v>40992</v>
      </c>
    </row>
    <row r="7" spans="1:20" x14ac:dyDescent="0.15">
      <c r="A7" s="6"/>
      <c r="B7" s="6"/>
      <c r="C7" s="6"/>
      <c r="D7" s="6"/>
      <c r="E7" s="6"/>
      <c r="F7" s="6"/>
      <c r="G7" s="6"/>
      <c r="H7" s="6"/>
      <c r="I7" s="6"/>
      <c r="J7" s="7"/>
      <c r="K7" s="7"/>
      <c r="L7" s="7"/>
      <c r="M7" s="6"/>
      <c r="N7" s="6"/>
      <c r="O7" s="6"/>
      <c r="P7" s="6"/>
      <c r="Q7" s="6"/>
    </row>
    <row r="8" spans="1:20" x14ac:dyDescent="0.15">
      <c r="A8" s="6"/>
      <c r="B8" s="6"/>
      <c r="C8" s="6"/>
      <c r="D8" s="6"/>
      <c r="E8" s="6"/>
      <c r="F8" s="6"/>
      <c r="G8" s="6"/>
      <c r="H8" s="6"/>
      <c r="I8" s="6"/>
      <c r="J8" s="7">
        <f>MAX(C6:G6)+1000</f>
        <v>45147</v>
      </c>
      <c r="K8" s="7"/>
      <c r="L8" s="7"/>
      <c r="M8" s="6"/>
      <c r="N8" s="6"/>
      <c r="O8" s="6"/>
      <c r="P8" s="6"/>
    </row>
    <row r="9" spans="1:20" x14ac:dyDescent="0.15">
      <c r="A9" s="6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6"/>
      <c r="N9" s="6"/>
      <c r="O9" s="6"/>
      <c r="P9" s="6"/>
    </row>
    <row r="10" spans="1:20" x14ac:dyDescent="0.15">
      <c r="A10" s="6"/>
      <c r="B10" s="6"/>
      <c r="C10" s="6"/>
      <c r="D10" s="6"/>
      <c r="E10" s="6"/>
      <c r="F10" s="6"/>
      <c r="G10" s="6"/>
      <c r="H10" s="6"/>
      <c r="I10" s="6"/>
      <c r="J10" s="7" t="s">
        <v>73</v>
      </c>
      <c r="K10" s="7" t="s">
        <v>75</v>
      </c>
      <c r="L10" s="7" t="s">
        <v>73</v>
      </c>
      <c r="M10" s="6"/>
      <c r="N10" s="6"/>
      <c r="O10" s="6"/>
      <c r="P10" s="6"/>
    </row>
    <row r="11" spans="1:20" x14ac:dyDescent="0.15">
      <c r="A11" s="6"/>
      <c r="B11" s="6"/>
      <c r="C11" s="6"/>
      <c r="D11" s="6"/>
      <c r="E11" s="6"/>
      <c r="F11" s="6"/>
      <c r="G11" s="6"/>
      <c r="H11" s="6"/>
      <c r="I11" t="s">
        <v>27</v>
      </c>
      <c r="J11" s="5">
        <f>((MAX($K$11:$K$15)+1000)-$K11)/2</f>
        <v>500</v>
      </c>
      <c r="K11" s="7">
        <f>C6</f>
        <v>44147</v>
      </c>
      <c r="L11" s="5">
        <f>J11</f>
        <v>500</v>
      </c>
      <c r="M11" s="6"/>
      <c r="N11" s="6"/>
      <c r="O11" s="6"/>
      <c r="P11" s="6"/>
    </row>
    <row r="12" spans="1:20" x14ac:dyDescent="0.15">
      <c r="A12" s="6"/>
      <c r="B12" s="6"/>
      <c r="C12" s="6"/>
      <c r="D12" s="6"/>
      <c r="E12" s="6"/>
      <c r="F12" s="6"/>
      <c r="G12" s="6"/>
      <c r="H12" s="6"/>
      <c r="I12" t="s">
        <v>29</v>
      </c>
      <c r="J12" s="5">
        <f t="shared" ref="J12:J15" si="8">((MAX($K$11:$K$15)+1000)-$K12)/2</f>
        <v>5649.5</v>
      </c>
      <c r="K12" s="7">
        <f>D6</f>
        <v>33848</v>
      </c>
      <c r="L12" s="5">
        <f t="shared" ref="L12:L15" si="9">J12</f>
        <v>5649.5</v>
      </c>
      <c r="M12" s="6"/>
      <c r="N12" s="6"/>
      <c r="O12" s="6"/>
      <c r="P12" s="6"/>
    </row>
    <row r="13" spans="1:20" x14ac:dyDescent="0.15">
      <c r="A13" s="6"/>
      <c r="B13" s="6"/>
      <c r="C13" s="6"/>
      <c r="D13" s="6"/>
      <c r="E13" s="6"/>
      <c r="F13" s="6"/>
      <c r="G13" s="6"/>
      <c r="H13" s="6"/>
      <c r="I13" t="s">
        <v>30</v>
      </c>
      <c r="J13" s="5">
        <f t="shared" si="8"/>
        <v>10833.5</v>
      </c>
      <c r="K13" s="7">
        <f>E6</f>
        <v>23480</v>
      </c>
      <c r="L13" s="5">
        <f t="shared" si="9"/>
        <v>10833.5</v>
      </c>
      <c r="M13" s="6"/>
      <c r="N13" s="6"/>
      <c r="O13" s="6"/>
      <c r="P13" s="6"/>
    </row>
    <row r="14" spans="1:20" x14ac:dyDescent="0.15">
      <c r="A14" s="6"/>
      <c r="B14" s="6"/>
      <c r="C14" s="6"/>
      <c r="D14" s="6"/>
      <c r="E14" s="6"/>
      <c r="F14" s="6"/>
      <c r="G14" s="6"/>
      <c r="H14" s="6"/>
      <c r="I14" t="s">
        <v>32</v>
      </c>
      <c r="J14" s="5">
        <f t="shared" si="8"/>
        <v>19959.5</v>
      </c>
      <c r="K14" s="7">
        <f>F6</f>
        <v>5228</v>
      </c>
      <c r="L14" s="5">
        <f t="shared" si="9"/>
        <v>19959.5</v>
      </c>
      <c r="M14" s="6"/>
      <c r="N14" s="6"/>
      <c r="O14" s="6"/>
      <c r="P14" s="6"/>
    </row>
    <row r="15" spans="1:20" x14ac:dyDescent="0.15">
      <c r="A15" s="6"/>
      <c r="B15" s="6"/>
      <c r="C15" s="6"/>
      <c r="D15" s="6"/>
      <c r="E15" s="6"/>
      <c r="F15" s="6"/>
      <c r="G15" s="6"/>
      <c r="H15" s="6"/>
      <c r="I15" t="s">
        <v>34</v>
      </c>
      <c r="J15" s="5">
        <f t="shared" si="8"/>
        <v>20496</v>
      </c>
      <c r="K15" s="7">
        <f>G6</f>
        <v>4155</v>
      </c>
      <c r="L15" s="5">
        <f t="shared" si="9"/>
        <v>20496</v>
      </c>
      <c r="M15" s="6"/>
      <c r="N15" s="6"/>
      <c r="O15" s="6"/>
      <c r="P15" s="6"/>
    </row>
    <row r="16" spans="1:20" x14ac:dyDescent="0.15">
      <c r="A16" s="6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6"/>
      <c r="N16" s="6"/>
      <c r="O16" s="6"/>
      <c r="P16" s="6"/>
    </row>
    <row r="17" spans="1:16" x14ac:dyDescent="0.15">
      <c r="A17" s="6"/>
      <c r="B17" s="6"/>
      <c r="C17" s="6"/>
      <c r="D17" s="6"/>
      <c r="E17" s="6"/>
      <c r="F17" s="6"/>
      <c r="G17" s="6"/>
      <c r="H17" s="6"/>
      <c r="I17" s="6"/>
      <c r="J17" s="7"/>
      <c r="K17" s="7"/>
      <c r="L17" s="7"/>
      <c r="M17" s="6"/>
      <c r="N17" s="6"/>
      <c r="O17" s="6"/>
      <c r="P17" s="6"/>
    </row>
    <row r="18" spans="1:16" x14ac:dyDescent="0.15">
      <c r="A18" s="6"/>
      <c r="B18" s="6"/>
      <c r="C18" s="6"/>
      <c r="D18" s="6"/>
      <c r="E18" s="6"/>
      <c r="F18" s="6"/>
      <c r="G18" s="6"/>
      <c r="H18" s="6"/>
      <c r="I18" s="6"/>
      <c r="J18" s="7"/>
      <c r="K18" s="7"/>
      <c r="L18" s="7"/>
      <c r="M18" s="6"/>
      <c r="N18" s="6"/>
      <c r="O18" s="6"/>
      <c r="P18" s="6"/>
    </row>
    <row r="19" spans="1:16" x14ac:dyDescent="0.15">
      <c r="A19" s="6"/>
      <c r="B19" s="6"/>
      <c r="C19" s="6"/>
      <c r="D19" s="6"/>
      <c r="E19" s="6"/>
      <c r="F19" s="6"/>
      <c r="G19" s="6"/>
      <c r="H19" s="6"/>
      <c r="I19" s="6"/>
      <c r="J19" s="7"/>
      <c r="K19" s="7"/>
      <c r="L19" s="7"/>
      <c r="M19" s="6"/>
      <c r="N19" s="6"/>
      <c r="O19" s="6"/>
      <c r="P19" s="6"/>
    </row>
    <row r="20" spans="1:16" x14ac:dyDescent="0.15">
      <c r="A20" s="6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6"/>
      <c r="N20" s="6"/>
      <c r="O20" s="6"/>
      <c r="P20" s="6"/>
    </row>
    <row r="21" spans="1:16" x14ac:dyDescent="0.15">
      <c r="A21" s="6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6"/>
      <c r="N21" s="6"/>
      <c r="O21" s="6"/>
      <c r="P21" s="6"/>
    </row>
    <row r="22" spans="1:16" x14ac:dyDescent="0.15">
      <c r="A22" s="6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6"/>
      <c r="N22" s="6"/>
      <c r="O22" s="6"/>
      <c r="P22" s="6"/>
    </row>
    <row r="23" spans="1:16" x14ac:dyDescent="0.15">
      <c r="A23" s="6"/>
      <c r="B23" s="6"/>
      <c r="C23" s="6"/>
      <c r="D23" s="6"/>
      <c r="E23" s="6"/>
      <c r="F23" s="6"/>
      <c r="G23" s="6"/>
      <c r="H23" s="6"/>
      <c r="I23" s="6"/>
      <c r="J23" s="7"/>
      <c r="K23" s="7"/>
      <c r="L23" s="7"/>
      <c r="M23" s="6"/>
      <c r="N23" s="6"/>
      <c r="O23" s="6"/>
      <c r="P23" s="6"/>
    </row>
    <row r="24" spans="1:16" x14ac:dyDescent="0.15">
      <c r="A24" s="6"/>
      <c r="B24" s="6"/>
      <c r="C24" s="6"/>
      <c r="D24" s="6"/>
      <c r="E24" s="6"/>
      <c r="F24" s="6"/>
      <c r="G24" s="6"/>
      <c r="H24" s="6"/>
      <c r="I24" s="6"/>
      <c r="J24" s="7"/>
      <c r="K24" s="7"/>
      <c r="L24" s="7"/>
      <c r="M24" s="6"/>
      <c r="N24" s="6"/>
      <c r="O24" s="6"/>
      <c r="P24" s="6"/>
    </row>
    <row r="25" spans="1:16" x14ac:dyDescent="0.15">
      <c r="A25" s="6"/>
      <c r="B25" s="6"/>
      <c r="C25" s="6"/>
      <c r="D25" s="6"/>
      <c r="E25" s="6"/>
      <c r="F25" s="6"/>
      <c r="G25" s="6"/>
      <c r="H25" s="6"/>
      <c r="I25" s="6"/>
      <c r="J25" s="7"/>
      <c r="K25" s="7"/>
      <c r="L25" s="7"/>
      <c r="M25" s="6"/>
      <c r="N25" s="6"/>
      <c r="O25" s="6"/>
      <c r="P25" s="6"/>
    </row>
    <row r="26" spans="1:16" x14ac:dyDescent="0.15">
      <c r="A26" s="6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6"/>
      <c r="N26" s="6"/>
      <c r="O26" s="6"/>
      <c r="P26" s="6"/>
    </row>
    <row r="27" spans="1:16" x14ac:dyDescent="0.15">
      <c r="A27" s="6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6"/>
      <c r="N27" s="6"/>
      <c r="O27" s="6"/>
      <c r="P27" s="6"/>
    </row>
    <row r="28" spans="1:16" x14ac:dyDescent="0.15">
      <c r="A28" s="6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6"/>
      <c r="N28" s="6"/>
      <c r="O28" s="6"/>
      <c r="P28" s="6"/>
    </row>
    <row r="29" spans="1:16" x14ac:dyDescent="0.15">
      <c r="A29" s="6"/>
      <c r="B29" s="6"/>
      <c r="C29" s="6"/>
      <c r="D29" s="6"/>
      <c r="E29" s="6"/>
      <c r="F29" s="6"/>
      <c r="G29" s="6"/>
      <c r="H29" s="6"/>
      <c r="I29" s="6"/>
      <c r="J29" s="7"/>
      <c r="K29" s="7"/>
      <c r="L29" s="7"/>
      <c r="M29" s="6"/>
      <c r="N29" s="6"/>
      <c r="O29" s="6"/>
      <c r="P29" s="6"/>
    </row>
    <row r="30" spans="1:16" x14ac:dyDescent="0.15">
      <c r="A30" s="6"/>
      <c r="B30" s="6"/>
      <c r="C30" s="6"/>
      <c r="D30" s="6"/>
      <c r="E30" s="6"/>
      <c r="F30" s="6"/>
      <c r="G30" s="6"/>
      <c r="H30" s="6"/>
      <c r="I30" s="6"/>
      <c r="J30" s="7"/>
      <c r="K30" s="7"/>
      <c r="L30" s="7"/>
      <c r="M30" s="6"/>
      <c r="N30" s="6"/>
      <c r="O30" s="6"/>
      <c r="P30" s="6"/>
    </row>
    <row r="31" spans="1:16" x14ac:dyDescent="0.15">
      <c r="A31" s="6"/>
      <c r="B31" s="6"/>
      <c r="C31" s="6"/>
      <c r="D31" s="6"/>
      <c r="E31" s="6"/>
      <c r="F31" s="6"/>
      <c r="G31" s="6"/>
      <c r="H31" s="6"/>
      <c r="I31" s="6"/>
      <c r="J31" s="7"/>
      <c r="K31" s="7"/>
      <c r="L31" s="7"/>
      <c r="M31" s="6"/>
      <c r="N31" s="6"/>
      <c r="O31" s="6"/>
      <c r="P31" s="6"/>
    </row>
    <row r="32" spans="1:16" x14ac:dyDescent="0.15">
      <c r="A32" s="6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6"/>
      <c r="N32" s="6"/>
      <c r="O32" s="6"/>
      <c r="P32" s="6"/>
    </row>
    <row r="33" spans="1:16" x14ac:dyDescent="0.15">
      <c r="A33" s="6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6"/>
      <c r="N33" s="6"/>
      <c r="O33" s="6"/>
      <c r="P33" s="6"/>
    </row>
    <row r="34" spans="1:16" x14ac:dyDescent="0.15">
      <c r="A34" s="6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6"/>
      <c r="N34" s="6"/>
      <c r="O34" s="6"/>
      <c r="P34" s="6"/>
    </row>
    <row r="35" spans="1:16" x14ac:dyDescent="0.15">
      <c r="A35" s="6"/>
      <c r="B35" s="6"/>
      <c r="C35" s="6"/>
      <c r="D35" s="6"/>
      <c r="E35" s="6"/>
      <c r="F35" s="6"/>
      <c r="G35" s="6"/>
      <c r="H35" s="6"/>
      <c r="I35" s="6"/>
      <c r="J35" s="7"/>
      <c r="K35" s="7"/>
      <c r="L35" s="7"/>
      <c r="M35" s="6"/>
      <c r="N35" s="6"/>
      <c r="O35" s="6"/>
      <c r="P35" s="6"/>
    </row>
    <row r="36" spans="1:16" x14ac:dyDescent="0.15">
      <c r="A36" s="6"/>
      <c r="B36" s="6"/>
      <c r="C36" s="6"/>
      <c r="D36" s="6"/>
      <c r="E36" s="6"/>
      <c r="F36" s="6"/>
      <c r="G36" s="6"/>
      <c r="H36" s="6"/>
      <c r="I36" s="6"/>
      <c r="J36" s="7"/>
      <c r="K36" s="7"/>
      <c r="L36" s="7"/>
      <c r="M36" s="6"/>
      <c r="N36" s="6"/>
      <c r="O36" s="6"/>
      <c r="P36" s="6"/>
    </row>
    <row r="37" spans="1:16" x14ac:dyDescent="0.15">
      <c r="A37" s="6"/>
      <c r="B37" s="6"/>
      <c r="C37" s="6"/>
      <c r="D37" s="6"/>
      <c r="E37" s="6"/>
      <c r="F37" s="6"/>
      <c r="G37" s="6"/>
      <c r="H37" s="6"/>
      <c r="I37" s="6"/>
      <c r="J37" s="7"/>
      <c r="K37" s="7"/>
      <c r="L37" s="7"/>
      <c r="M37" s="6"/>
      <c r="N37" s="6"/>
      <c r="O37" s="6"/>
      <c r="P37" s="6"/>
    </row>
    <row r="38" spans="1:16" x14ac:dyDescent="0.15">
      <c r="A38" s="6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6"/>
      <c r="N38" s="6"/>
      <c r="O38" s="6"/>
      <c r="P38" s="6"/>
    </row>
    <row r="39" spans="1:16" x14ac:dyDescent="0.15">
      <c r="A39" s="6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6"/>
      <c r="N39" s="6"/>
      <c r="O39" s="6"/>
      <c r="P39" s="6"/>
    </row>
    <row r="40" spans="1:16" x14ac:dyDescent="0.15">
      <c r="A40" s="6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6"/>
      <c r="N40" s="6"/>
      <c r="O40" s="6"/>
      <c r="P40" s="6"/>
    </row>
    <row r="41" spans="1:16" x14ac:dyDescent="0.15">
      <c r="A41" s="6"/>
      <c r="B41" s="6"/>
      <c r="C41" s="6"/>
      <c r="D41" s="6"/>
      <c r="E41" s="6"/>
      <c r="F41" s="6"/>
      <c r="G41" s="6"/>
      <c r="H41" s="6"/>
      <c r="I41" s="6"/>
      <c r="J41" s="7"/>
      <c r="K41" s="7"/>
      <c r="L41" s="7"/>
      <c r="M41" s="6"/>
      <c r="N41" s="6"/>
      <c r="O41" s="6"/>
      <c r="P41" s="6"/>
    </row>
    <row r="42" spans="1:16" x14ac:dyDescent="0.15">
      <c r="A42" s="6"/>
      <c r="B42" s="6"/>
      <c r="C42" s="6"/>
      <c r="D42" s="6"/>
      <c r="E42" s="6"/>
      <c r="F42" s="6"/>
      <c r="G42" s="6"/>
      <c r="H42" s="6"/>
      <c r="I42" s="6"/>
      <c r="J42" s="7"/>
      <c r="K42" s="7"/>
      <c r="L42" s="7"/>
      <c r="M42" s="6"/>
      <c r="N42" s="6"/>
      <c r="O42" s="6"/>
      <c r="P42" s="6"/>
    </row>
    <row r="43" spans="1:16" x14ac:dyDescent="0.15">
      <c r="A43" s="6"/>
      <c r="B43" s="6"/>
      <c r="C43" s="6"/>
      <c r="D43" s="6"/>
      <c r="E43" s="6"/>
      <c r="F43" s="6"/>
      <c r="G43" s="6"/>
      <c r="H43" s="6"/>
      <c r="I43" s="6"/>
      <c r="J43" s="7"/>
      <c r="K43" s="7"/>
      <c r="L43" s="7"/>
      <c r="M43" s="6"/>
      <c r="N43" s="6"/>
      <c r="O43" s="6"/>
      <c r="P43" s="6"/>
    </row>
    <row r="44" spans="1:16" x14ac:dyDescent="0.15">
      <c r="A44" s="6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6"/>
      <c r="N44" s="6"/>
      <c r="O44" s="6"/>
      <c r="P44" s="6"/>
    </row>
    <row r="45" spans="1:16" x14ac:dyDescent="0.15">
      <c r="A45" s="6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6"/>
      <c r="N45" s="6"/>
      <c r="O45" s="6"/>
      <c r="P45" s="6"/>
    </row>
    <row r="46" spans="1:16" x14ac:dyDescent="0.15">
      <c r="A46" s="6"/>
      <c r="B46" s="6"/>
      <c r="C46" s="6"/>
      <c r="D46" s="6"/>
      <c r="E46" s="6"/>
      <c r="F46" s="6"/>
      <c r="G46" s="6"/>
      <c r="H46" s="6"/>
      <c r="I46" s="6"/>
      <c r="J46" s="7"/>
      <c r="K46" s="7"/>
      <c r="L46" s="7"/>
      <c r="M46" s="6"/>
      <c r="N46" s="6"/>
      <c r="O46" s="6"/>
      <c r="P46" s="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5"/>
  <sheetViews>
    <sheetView workbookViewId="0">
      <selection activeCell="M12" sqref="M12"/>
    </sheetView>
  </sheetViews>
  <sheetFormatPr defaultRowHeight="13.5" x14ac:dyDescent="0.15"/>
  <sheetData>
    <row r="1" spans="2:4" x14ac:dyDescent="0.15">
      <c r="C1" t="s">
        <v>69</v>
      </c>
      <c r="D1" t="s">
        <v>70</v>
      </c>
    </row>
    <row r="2" spans="2:4" x14ac:dyDescent="0.15">
      <c r="B2" t="s">
        <v>45</v>
      </c>
      <c r="C2">
        <v>2326</v>
      </c>
      <c r="D2">
        <v>4112</v>
      </c>
    </row>
    <row r="3" spans="2:4" x14ac:dyDescent="0.15">
      <c r="B3" t="s">
        <v>46</v>
      </c>
      <c r="C3">
        <v>1710</v>
      </c>
      <c r="D3">
        <v>6746</v>
      </c>
    </row>
    <row r="4" spans="2:4" x14ac:dyDescent="0.15">
      <c r="B4" t="s">
        <v>47</v>
      </c>
      <c r="C4">
        <v>3747</v>
      </c>
      <c r="D4">
        <v>5583</v>
      </c>
    </row>
    <row r="5" spans="2:4" x14ac:dyDescent="0.15">
      <c r="B5" t="s">
        <v>48</v>
      </c>
      <c r="C5">
        <v>1170</v>
      </c>
      <c r="D5">
        <v>5057</v>
      </c>
    </row>
    <row r="6" spans="2:4" x14ac:dyDescent="0.15">
      <c r="B6" t="s">
        <v>49</v>
      </c>
      <c r="C6">
        <v>582</v>
      </c>
      <c r="D6">
        <v>7725</v>
      </c>
    </row>
    <row r="7" spans="2:4" x14ac:dyDescent="0.15">
      <c r="B7" t="s">
        <v>50</v>
      </c>
      <c r="C7">
        <v>5796</v>
      </c>
      <c r="D7">
        <v>844</v>
      </c>
    </row>
    <row r="8" spans="2:4" x14ac:dyDescent="0.15">
      <c r="B8" t="s">
        <v>51</v>
      </c>
      <c r="C8">
        <v>9813</v>
      </c>
      <c r="D8">
        <v>6117</v>
      </c>
    </row>
    <row r="9" spans="2:4" x14ac:dyDescent="0.15">
      <c r="B9" t="s">
        <v>52</v>
      </c>
      <c r="C9">
        <v>1528</v>
      </c>
      <c r="D9">
        <v>6151</v>
      </c>
    </row>
    <row r="10" spans="2:4" x14ac:dyDescent="0.15">
      <c r="B10" t="s">
        <v>53</v>
      </c>
      <c r="C10">
        <v>2352</v>
      </c>
      <c r="D10">
        <v>723</v>
      </c>
    </row>
    <row r="11" spans="2:4" x14ac:dyDescent="0.15">
      <c r="B11" t="s">
        <v>54</v>
      </c>
      <c r="C11">
        <v>5263</v>
      </c>
      <c r="D11">
        <v>6655</v>
      </c>
    </row>
    <row r="12" spans="2:4" x14ac:dyDescent="0.15">
      <c r="B12" t="s">
        <v>55</v>
      </c>
      <c r="C12">
        <v>6020</v>
      </c>
      <c r="D12">
        <v>5600</v>
      </c>
    </row>
    <row r="13" spans="2:4" x14ac:dyDescent="0.15">
      <c r="B13" t="s">
        <v>56</v>
      </c>
      <c r="C13">
        <v>9677</v>
      </c>
      <c r="D13">
        <v>2736</v>
      </c>
    </row>
    <row r="14" spans="2:4" x14ac:dyDescent="0.15">
      <c r="B14" t="s">
        <v>57</v>
      </c>
      <c r="C14">
        <v>6330</v>
      </c>
      <c r="D14">
        <v>5641</v>
      </c>
    </row>
    <row r="15" spans="2:4" x14ac:dyDescent="0.15">
      <c r="B15" t="s">
        <v>58</v>
      </c>
      <c r="C15">
        <v>5154</v>
      </c>
      <c r="D15">
        <v>7517</v>
      </c>
    </row>
    <row r="16" spans="2:4" x14ac:dyDescent="0.15">
      <c r="B16" t="s">
        <v>59</v>
      </c>
      <c r="C16">
        <v>5768</v>
      </c>
      <c r="D16">
        <v>3950</v>
      </c>
    </row>
    <row r="17" spans="2:4" x14ac:dyDescent="0.15">
      <c r="B17" t="s">
        <v>60</v>
      </c>
      <c r="C17">
        <v>5995</v>
      </c>
      <c r="D17">
        <v>3824</v>
      </c>
    </row>
    <row r="18" spans="2:4" x14ac:dyDescent="0.15">
      <c r="B18" t="s">
        <v>61</v>
      </c>
      <c r="C18">
        <v>2097</v>
      </c>
      <c r="D18">
        <v>3864</v>
      </c>
    </row>
    <row r="19" spans="2:4" x14ac:dyDescent="0.15">
      <c r="B19" t="s">
        <v>62</v>
      </c>
      <c r="C19">
        <v>9652</v>
      </c>
      <c r="D19">
        <v>9444</v>
      </c>
    </row>
    <row r="20" spans="2:4" x14ac:dyDescent="0.15">
      <c r="B20" t="s">
        <v>63</v>
      </c>
      <c r="C20">
        <v>7139</v>
      </c>
      <c r="D20">
        <v>4406</v>
      </c>
    </row>
    <row r="21" spans="2:4" x14ac:dyDescent="0.15">
      <c r="B21" t="s">
        <v>64</v>
      </c>
      <c r="C21">
        <v>5662</v>
      </c>
      <c r="D21">
        <v>6941</v>
      </c>
    </row>
    <row r="22" spans="2:4" x14ac:dyDescent="0.15">
      <c r="B22" t="s">
        <v>65</v>
      </c>
      <c r="C22">
        <v>9395</v>
      </c>
      <c r="D22">
        <v>5333</v>
      </c>
    </row>
    <row r="23" spans="2:4" x14ac:dyDescent="0.15">
      <c r="B23" t="s">
        <v>66</v>
      </c>
      <c r="C23">
        <v>4351</v>
      </c>
      <c r="D23">
        <v>1548</v>
      </c>
    </row>
    <row r="24" spans="2:4" x14ac:dyDescent="0.15">
      <c r="B24" t="s">
        <v>67</v>
      </c>
      <c r="C24">
        <v>9382</v>
      </c>
      <c r="D24">
        <v>7504</v>
      </c>
    </row>
    <row r="25" spans="2:4" x14ac:dyDescent="0.15">
      <c r="B25" t="s">
        <v>68</v>
      </c>
      <c r="C25">
        <v>81</v>
      </c>
      <c r="D25">
        <v>9087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9"/>
  <sheetViews>
    <sheetView topLeftCell="A4" workbookViewId="0">
      <selection activeCell="M28" sqref="M28"/>
    </sheetView>
  </sheetViews>
  <sheetFormatPr defaultRowHeight="13.5" x14ac:dyDescent="0.15"/>
  <cols>
    <col min="2" max="2" width="13.875" bestFit="1" customWidth="1"/>
    <col min="3" max="3" width="12.75" bestFit="1" customWidth="1"/>
    <col min="4" max="4" width="11.625" bestFit="1" customWidth="1"/>
  </cols>
  <sheetData>
    <row r="1" spans="2:4" x14ac:dyDescent="0.15">
      <c r="C1" t="s">
        <v>71</v>
      </c>
      <c r="D1" t="s">
        <v>72</v>
      </c>
    </row>
    <row r="2" spans="2:4" x14ac:dyDescent="0.15">
      <c r="B2" s="4">
        <v>42736</v>
      </c>
      <c r="C2">
        <v>3078</v>
      </c>
      <c r="D2">
        <v>4590</v>
      </c>
    </row>
    <row r="3" spans="2:4" x14ac:dyDescent="0.15">
      <c r="B3" s="4">
        <v>42737</v>
      </c>
      <c r="C3">
        <v>3844</v>
      </c>
      <c r="D3">
        <v>5587</v>
      </c>
    </row>
    <row r="4" spans="2:4" x14ac:dyDescent="0.15">
      <c r="B4" s="4">
        <v>42738</v>
      </c>
      <c r="C4">
        <v>3348</v>
      </c>
      <c r="D4">
        <v>5526</v>
      </c>
    </row>
    <row r="5" spans="2:4" x14ac:dyDescent="0.15">
      <c r="B5" s="4">
        <v>42739</v>
      </c>
      <c r="C5">
        <v>3254</v>
      </c>
      <c r="D5">
        <v>5228</v>
      </c>
    </row>
    <row r="6" spans="2:4" x14ac:dyDescent="0.15">
      <c r="B6" s="4">
        <v>42740</v>
      </c>
      <c r="C6">
        <v>3259</v>
      </c>
      <c r="D6">
        <v>4894</v>
      </c>
    </row>
    <row r="7" spans="2:4" x14ac:dyDescent="0.15">
      <c r="B7" s="4">
        <v>42741</v>
      </c>
      <c r="C7">
        <v>3750</v>
      </c>
      <c r="D7">
        <v>4661</v>
      </c>
    </row>
    <row r="8" spans="2:4" x14ac:dyDescent="0.15">
      <c r="B8" s="4">
        <v>42742</v>
      </c>
      <c r="C8">
        <v>4011</v>
      </c>
      <c r="D8">
        <v>5572</v>
      </c>
    </row>
    <row r="9" spans="2:4" x14ac:dyDescent="0.15">
      <c r="B9" s="4">
        <v>42743</v>
      </c>
      <c r="C9">
        <v>3739</v>
      </c>
      <c r="D9">
        <v>5045</v>
      </c>
    </row>
    <row r="10" spans="2:4" x14ac:dyDescent="0.15">
      <c r="B10" s="4">
        <v>42744</v>
      </c>
      <c r="C10">
        <v>3399</v>
      </c>
      <c r="D10">
        <v>4893</v>
      </c>
    </row>
    <row r="11" spans="2:4" x14ac:dyDescent="0.15">
      <c r="B11" s="4">
        <v>42745</v>
      </c>
      <c r="C11">
        <v>4006</v>
      </c>
      <c r="D11">
        <v>5351</v>
      </c>
    </row>
    <row r="12" spans="2:4" x14ac:dyDescent="0.15">
      <c r="B12" s="4">
        <v>42746</v>
      </c>
      <c r="C12">
        <v>3825</v>
      </c>
      <c r="D12">
        <v>4882</v>
      </c>
    </row>
    <row r="13" spans="2:4" x14ac:dyDescent="0.15">
      <c r="B13" s="4">
        <v>42747</v>
      </c>
      <c r="C13">
        <v>3432</v>
      </c>
      <c r="D13">
        <v>5390</v>
      </c>
    </row>
    <row r="14" spans="2:4" x14ac:dyDescent="0.15">
      <c r="B14" s="4">
        <v>42748</v>
      </c>
      <c r="C14">
        <v>3944</v>
      </c>
      <c r="D14">
        <v>5002</v>
      </c>
    </row>
    <row r="15" spans="2:4" x14ac:dyDescent="0.15">
      <c r="B15" s="4">
        <v>42749</v>
      </c>
      <c r="C15">
        <v>3338</v>
      </c>
      <c r="D15">
        <v>4899</v>
      </c>
    </row>
    <row r="16" spans="2:4" x14ac:dyDescent="0.15">
      <c r="B16" s="4">
        <v>42750</v>
      </c>
      <c r="C16">
        <v>3603</v>
      </c>
      <c r="D16">
        <v>4678</v>
      </c>
    </row>
    <row r="17" spans="2:4" x14ac:dyDescent="0.15">
      <c r="B17" s="4">
        <v>42751</v>
      </c>
      <c r="C17">
        <v>3974</v>
      </c>
      <c r="D17">
        <v>5545</v>
      </c>
    </row>
    <row r="18" spans="2:4" x14ac:dyDescent="0.15">
      <c r="B18" s="4">
        <v>42752</v>
      </c>
      <c r="C18">
        <v>3622</v>
      </c>
      <c r="D18">
        <v>4666</v>
      </c>
    </row>
    <row r="19" spans="2:4" x14ac:dyDescent="0.15">
      <c r="B19" s="4">
        <v>42753</v>
      </c>
      <c r="C19">
        <v>3414</v>
      </c>
      <c r="D19">
        <v>4739</v>
      </c>
    </row>
    <row r="20" spans="2:4" x14ac:dyDescent="0.15">
      <c r="B20" s="4">
        <v>42754</v>
      </c>
      <c r="C20">
        <v>3317</v>
      </c>
      <c r="D20">
        <v>5100</v>
      </c>
    </row>
    <row r="21" spans="2:4" x14ac:dyDescent="0.15">
      <c r="B21" s="4">
        <v>42755</v>
      </c>
      <c r="C21">
        <v>3169</v>
      </c>
      <c r="D21">
        <v>5335</v>
      </c>
    </row>
    <row r="22" spans="2:4" x14ac:dyDescent="0.15">
      <c r="B22" s="4">
        <v>42756</v>
      </c>
      <c r="C22">
        <v>3577</v>
      </c>
      <c r="D22">
        <v>4676</v>
      </c>
    </row>
    <row r="23" spans="2:4" x14ac:dyDescent="0.15">
      <c r="B23" s="4">
        <v>42757</v>
      </c>
      <c r="C23">
        <v>3625</v>
      </c>
      <c r="D23">
        <v>5419</v>
      </c>
    </row>
    <row r="24" spans="2:4" x14ac:dyDescent="0.15">
      <c r="B24" s="4">
        <v>42758</v>
      </c>
      <c r="C24">
        <v>3585</v>
      </c>
      <c r="D24">
        <v>5370</v>
      </c>
    </row>
    <row r="25" spans="2:4" x14ac:dyDescent="0.15">
      <c r="B25" s="4">
        <v>42759</v>
      </c>
      <c r="C25">
        <v>3320</v>
      </c>
      <c r="D25">
        <v>5130</v>
      </c>
    </row>
    <row r="26" spans="2:4" x14ac:dyDescent="0.15">
      <c r="B26" s="4">
        <v>42760</v>
      </c>
      <c r="C26">
        <v>3198</v>
      </c>
      <c r="D26">
        <v>5141</v>
      </c>
    </row>
    <row r="27" spans="2:4" x14ac:dyDescent="0.15">
      <c r="B27" s="4">
        <v>42761</v>
      </c>
      <c r="C27">
        <v>3800</v>
      </c>
      <c r="D27">
        <v>4636</v>
      </c>
    </row>
    <row r="28" spans="2:4" x14ac:dyDescent="0.15">
      <c r="B28" s="4">
        <v>42762</v>
      </c>
      <c r="C28">
        <v>3291</v>
      </c>
      <c r="D28">
        <v>5135</v>
      </c>
    </row>
    <row r="29" spans="2:4" x14ac:dyDescent="0.15">
      <c r="B29" s="4">
        <v>42763</v>
      </c>
      <c r="C29">
        <v>3390</v>
      </c>
      <c r="D29">
        <v>5420</v>
      </c>
    </row>
    <row r="30" spans="2:4" x14ac:dyDescent="0.15">
      <c r="B30" s="4">
        <v>42764</v>
      </c>
      <c r="C30">
        <v>4045</v>
      </c>
      <c r="D30">
        <v>4774</v>
      </c>
    </row>
    <row r="31" spans="2:4" x14ac:dyDescent="0.15">
      <c r="B31" s="4">
        <v>42765</v>
      </c>
      <c r="C31">
        <v>3236</v>
      </c>
      <c r="D31">
        <v>4672</v>
      </c>
    </row>
    <row r="32" spans="2:4" x14ac:dyDescent="0.15">
      <c r="B32" s="4">
        <v>42766</v>
      </c>
      <c r="C32">
        <v>3508</v>
      </c>
      <c r="D32">
        <v>4901</v>
      </c>
    </row>
    <row r="33" spans="2:4" x14ac:dyDescent="0.15">
      <c r="B33" s="4">
        <v>42767</v>
      </c>
      <c r="C33">
        <v>3666</v>
      </c>
      <c r="D33">
        <v>5383</v>
      </c>
    </row>
    <row r="34" spans="2:4" x14ac:dyDescent="0.15">
      <c r="B34" s="4"/>
    </row>
    <row r="35" spans="2:4" x14ac:dyDescent="0.15">
      <c r="B35" s="4"/>
    </row>
    <row r="36" spans="2:4" x14ac:dyDescent="0.15">
      <c r="B36" s="4"/>
    </row>
    <row r="37" spans="2:4" x14ac:dyDescent="0.15">
      <c r="B37" s="4"/>
    </row>
    <row r="38" spans="2:4" x14ac:dyDescent="0.15">
      <c r="B38" s="4"/>
    </row>
    <row r="39" spans="2:4" x14ac:dyDescent="0.15">
      <c r="B39" s="4"/>
    </row>
    <row r="40" spans="2:4" x14ac:dyDescent="0.15">
      <c r="B40" s="4"/>
    </row>
    <row r="41" spans="2:4" x14ac:dyDescent="0.15">
      <c r="B41" s="4"/>
    </row>
    <row r="42" spans="2:4" x14ac:dyDescent="0.15">
      <c r="B42" s="4"/>
    </row>
    <row r="43" spans="2:4" x14ac:dyDescent="0.15">
      <c r="B43" s="4"/>
    </row>
    <row r="44" spans="2:4" x14ac:dyDescent="0.15">
      <c r="B44" s="4"/>
    </row>
    <row r="45" spans="2:4" x14ac:dyDescent="0.15">
      <c r="B45" s="4"/>
    </row>
    <row r="46" spans="2:4" x14ac:dyDescent="0.15">
      <c r="B46" s="4"/>
    </row>
    <row r="47" spans="2:4" x14ac:dyDescent="0.15">
      <c r="B47" s="4"/>
    </row>
    <row r="48" spans="2:4" x14ac:dyDescent="0.15">
      <c r="B48" s="4"/>
    </row>
    <row r="49" spans="2:2" x14ac:dyDescent="0.15">
      <c r="B49" s="4"/>
    </row>
    <row r="50" spans="2:2" x14ac:dyDescent="0.15">
      <c r="B50" s="4"/>
    </row>
    <row r="51" spans="2:2" x14ac:dyDescent="0.15">
      <c r="B51" s="4"/>
    </row>
    <row r="52" spans="2:2" x14ac:dyDescent="0.15">
      <c r="B52" s="4"/>
    </row>
    <row r="53" spans="2:2" x14ac:dyDescent="0.15">
      <c r="B53" s="4"/>
    </row>
    <row r="54" spans="2:2" x14ac:dyDescent="0.15">
      <c r="B54" s="4"/>
    </row>
    <row r="55" spans="2:2" x14ac:dyDescent="0.15">
      <c r="B55" s="4"/>
    </row>
    <row r="56" spans="2:2" x14ac:dyDescent="0.15">
      <c r="B56" s="4"/>
    </row>
    <row r="57" spans="2:2" x14ac:dyDescent="0.15">
      <c r="B57" s="4"/>
    </row>
    <row r="58" spans="2:2" x14ac:dyDescent="0.15">
      <c r="B58" s="4"/>
    </row>
    <row r="59" spans="2:2" x14ac:dyDescent="0.15">
      <c r="B59" s="4"/>
    </row>
    <row r="60" spans="2:2" x14ac:dyDescent="0.15">
      <c r="B60" s="4"/>
    </row>
    <row r="61" spans="2:2" x14ac:dyDescent="0.15">
      <c r="B61" s="4"/>
    </row>
    <row r="62" spans="2:2" x14ac:dyDescent="0.15">
      <c r="B62" s="4"/>
    </row>
    <row r="63" spans="2:2" x14ac:dyDescent="0.15">
      <c r="B63" s="4"/>
    </row>
    <row r="64" spans="2:2" x14ac:dyDescent="0.15">
      <c r="B64" s="4"/>
    </row>
    <row r="65" spans="2:2" x14ac:dyDescent="0.15">
      <c r="B65" s="4"/>
    </row>
    <row r="66" spans="2:2" x14ac:dyDescent="0.15">
      <c r="B66" s="4"/>
    </row>
    <row r="67" spans="2:2" x14ac:dyDescent="0.15">
      <c r="B67" s="4"/>
    </row>
    <row r="68" spans="2:2" x14ac:dyDescent="0.15">
      <c r="B68" s="4"/>
    </row>
    <row r="69" spans="2:2" x14ac:dyDescent="0.15">
      <c r="B69" s="4"/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9"/>
  <sheetViews>
    <sheetView tabSelected="1" workbookViewId="0">
      <selection activeCell="O12" sqref="O12"/>
    </sheetView>
  </sheetViews>
  <sheetFormatPr defaultRowHeight="13.5" x14ac:dyDescent="0.15"/>
  <cols>
    <col min="2" max="2" width="10.25" bestFit="1" customWidth="1"/>
    <col min="3" max="4" width="13" bestFit="1" customWidth="1"/>
  </cols>
  <sheetData>
    <row r="1" spans="2:7" ht="15.75" x14ac:dyDescent="0.15">
      <c r="B1" s="2" t="s">
        <v>0</v>
      </c>
      <c r="C1" s="2" t="s">
        <v>79</v>
      </c>
      <c r="D1" s="2" t="s">
        <v>80</v>
      </c>
    </row>
    <row r="2" spans="2:7" ht="15.75" x14ac:dyDescent="0.15">
      <c r="B2" s="3">
        <v>42852</v>
      </c>
      <c r="C2" s="2">
        <v>449</v>
      </c>
      <c r="D2" s="11">
        <v>0.937753967093788</v>
      </c>
    </row>
    <row r="3" spans="2:7" ht="15.75" x14ac:dyDescent="0.15">
      <c r="B3" s="3">
        <v>42853</v>
      </c>
      <c r="C3" s="2">
        <v>953</v>
      </c>
      <c r="D3" s="11">
        <v>0.39727299862212062</v>
      </c>
    </row>
    <row r="4" spans="2:7" ht="15.75" x14ac:dyDescent="0.15">
      <c r="B4" s="3">
        <v>42854</v>
      </c>
      <c r="C4" s="2">
        <v>749</v>
      </c>
      <c r="D4" s="11">
        <v>4.1851648028674582E-3</v>
      </c>
    </row>
    <row r="5" spans="2:7" ht="15.75" x14ac:dyDescent="0.15">
      <c r="B5" s="3">
        <v>42855</v>
      </c>
      <c r="C5" s="2">
        <v>775</v>
      </c>
      <c r="D5" s="11">
        <v>1.8947806302536119E-3</v>
      </c>
    </row>
    <row r="6" spans="2:7" ht="15.75" x14ac:dyDescent="0.15">
      <c r="B6" s="3">
        <v>42856</v>
      </c>
      <c r="C6" s="2">
        <v>896</v>
      </c>
      <c r="D6" s="11">
        <v>0.66269102604368912</v>
      </c>
    </row>
    <row r="7" spans="2:7" ht="15.75" x14ac:dyDescent="0.15">
      <c r="B7" s="3">
        <v>42857</v>
      </c>
      <c r="C7" s="2">
        <v>1278</v>
      </c>
      <c r="D7" s="11">
        <v>0.68559997835236486</v>
      </c>
    </row>
    <row r="8" spans="2:7" ht="15.75" x14ac:dyDescent="0.15">
      <c r="B8" s="3">
        <v>42858</v>
      </c>
      <c r="C8" s="2">
        <v>1418</v>
      </c>
      <c r="D8" s="11">
        <v>9.5148604425570604E-2</v>
      </c>
    </row>
    <row r="9" spans="2:7" ht="15.75" x14ac:dyDescent="0.15">
      <c r="B9" s="3">
        <v>42859</v>
      </c>
      <c r="C9" s="2">
        <v>1478</v>
      </c>
      <c r="D9" s="11">
        <v>0.81907927646816225</v>
      </c>
    </row>
    <row r="10" spans="2:7" ht="15.75" x14ac:dyDescent="0.15">
      <c r="B10" s="3">
        <v>42860</v>
      </c>
      <c r="C10" s="2">
        <v>1434</v>
      </c>
      <c r="D10" s="11">
        <v>0.54619779083679976</v>
      </c>
    </row>
    <row r="11" spans="2:7" x14ac:dyDescent="0.15">
      <c r="B11" s="4"/>
    </row>
    <row r="12" spans="2:7" x14ac:dyDescent="0.15">
      <c r="B12" s="4"/>
    </row>
    <row r="13" spans="2:7" x14ac:dyDescent="0.15">
      <c r="B13" s="4"/>
      <c r="G13" t="s">
        <v>76</v>
      </c>
    </row>
    <row r="14" spans="2:7" x14ac:dyDescent="0.15">
      <c r="B14" s="4"/>
    </row>
    <row r="15" spans="2:7" x14ac:dyDescent="0.15">
      <c r="B15" s="4"/>
    </row>
    <row r="16" spans="2:7" x14ac:dyDescent="0.15">
      <c r="B16" s="4"/>
    </row>
    <row r="17" spans="2:2" x14ac:dyDescent="0.15">
      <c r="B17" s="4"/>
    </row>
    <row r="18" spans="2:2" x14ac:dyDescent="0.15">
      <c r="B18" s="4"/>
    </row>
    <row r="19" spans="2:2" x14ac:dyDescent="0.15">
      <c r="B19" s="4"/>
    </row>
    <row r="20" spans="2:2" x14ac:dyDescent="0.15">
      <c r="B20" s="4"/>
    </row>
    <row r="21" spans="2:2" x14ac:dyDescent="0.15">
      <c r="B21" s="4"/>
    </row>
    <row r="22" spans="2:2" x14ac:dyDescent="0.15">
      <c r="B22" s="4"/>
    </row>
    <row r="23" spans="2:2" x14ac:dyDescent="0.15">
      <c r="B23" s="4"/>
    </row>
    <row r="24" spans="2:2" x14ac:dyDescent="0.15">
      <c r="B24" s="4"/>
    </row>
    <row r="25" spans="2:2" x14ac:dyDescent="0.15">
      <c r="B25" s="4"/>
    </row>
    <row r="26" spans="2:2" x14ac:dyDescent="0.15">
      <c r="B26" s="4"/>
    </row>
    <row r="27" spans="2:2" x14ac:dyDescent="0.15">
      <c r="B27" s="4"/>
    </row>
    <row r="28" spans="2:2" x14ac:dyDescent="0.15">
      <c r="B28" s="4"/>
    </row>
    <row r="29" spans="2:2" x14ac:dyDescent="0.15">
      <c r="B29" s="4"/>
    </row>
    <row r="30" spans="2:2" x14ac:dyDescent="0.15">
      <c r="B30" s="4"/>
    </row>
    <row r="31" spans="2:2" x14ac:dyDescent="0.15">
      <c r="B31" s="4"/>
    </row>
    <row r="32" spans="2:2" x14ac:dyDescent="0.15">
      <c r="B32" s="4"/>
    </row>
    <row r="33" spans="2:2" x14ac:dyDescent="0.15">
      <c r="B33" s="4"/>
    </row>
    <row r="34" spans="2:2" x14ac:dyDescent="0.15">
      <c r="B34" s="4"/>
    </row>
    <row r="35" spans="2:2" x14ac:dyDescent="0.15">
      <c r="B35" s="4"/>
    </row>
    <row r="36" spans="2:2" x14ac:dyDescent="0.15">
      <c r="B36" s="4"/>
    </row>
    <row r="37" spans="2:2" x14ac:dyDescent="0.15">
      <c r="B37" s="4"/>
    </row>
    <row r="38" spans="2:2" x14ac:dyDescent="0.15">
      <c r="B38" s="4"/>
    </row>
    <row r="39" spans="2:2" x14ac:dyDescent="0.15">
      <c r="B39" s="4"/>
    </row>
    <row r="40" spans="2:2" x14ac:dyDescent="0.15">
      <c r="B40" s="4"/>
    </row>
    <row r="41" spans="2:2" x14ac:dyDescent="0.15">
      <c r="B41" s="4"/>
    </row>
    <row r="42" spans="2:2" x14ac:dyDescent="0.15">
      <c r="B42" s="4"/>
    </row>
    <row r="43" spans="2:2" x14ac:dyDescent="0.15">
      <c r="B43" s="4"/>
    </row>
    <row r="44" spans="2:2" x14ac:dyDescent="0.15">
      <c r="B44" s="4"/>
    </row>
    <row r="45" spans="2:2" x14ac:dyDescent="0.15">
      <c r="B45" s="4"/>
    </row>
    <row r="46" spans="2:2" x14ac:dyDescent="0.15">
      <c r="B46" s="4"/>
    </row>
    <row r="47" spans="2:2" x14ac:dyDescent="0.15">
      <c r="B47" s="4"/>
    </row>
    <row r="48" spans="2:2" x14ac:dyDescent="0.15">
      <c r="B48" s="4"/>
    </row>
    <row r="49" spans="2:2" x14ac:dyDescent="0.15">
      <c r="B49" s="4"/>
    </row>
    <row r="50" spans="2:2" x14ac:dyDescent="0.15">
      <c r="B50" s="4"/>
    </row>
    <row r="51" spans="2:2" x14ac:dyDescent="0.15">
      <c r="B51" s="4"/>
    </row>
    <row r="52" spans="2:2" x14ac:dyDescent="0.15">
      <c r="B52" s="4"/>
    </row>
    <row r="53" spans="2:2" x14ac:dyDescent="0.15">
      <c r="B53" s="4"/>
    </row>
    <row r="54" spans="2:2" x14ac:dyDescent="0.15">
      <c r="B54" s="4"/>
    </row>
    <row r="55" spans="2:2" x14ac:dyDescent="0.15">
      <c r="B55" s="4"/>
    </row>
    <row r="56" spans="2:2" x14ac:dyDescent="0.15">
      <c r="B56" s="4"/>
    </row>
    <row r="57" spans="2:2" x14ac:dyDescent="0.15">
      <c r="B57" s="4"/>
    </row>
    <row r="58" spans="2:2" x14ac:dyDescent="0.15">
      <c r="B58" s="4"/>
    </row>
    <row r="59" spans="2:2" x14ac:dyDescent="0.15">
      <c r="B59" s="4"/>
    </row>
    <row r="60" spans="2:2" x14ac:dyDescent="0.15">
      <c r="B60" s="4"/>
    </row>
    <row r="61" spans="2:2" x14ac:dyDescent="0.15">
      <c r="B61" s="4"/>
    </row>
    <row r="62" spans="2:2" x14ac:dyDescent="0.15">
      <c r="B62" s="4"/>
    </row>
    <row r="63" spans="2:2" x14ac:dyDescent="0.15">
      <c r="B63" s="4"/>
    </row>
    <row r="64" spans="2:2" x14ac:dyDescent="0.15">
      <c r="B64" s="4"/>
    </row>
    <row r="65" spans="2:2" x14ac:dyDescent="0.15">
      <c r="B65" s="4"/>
    </row>
    <row r="66" spans="2:2" x14ac:dyDescent="0.15">
      <c r="B66" s="4"/>
    </row>
    <row r="67" spans="2:2" x14ac:dyDescent="0.15">
      <c r="B67" s="4"/>
    </row>
    <row r="68" spans="2:2" x14ac:dyDescent="0.15">
      <c r="B68" s="4"/>
    </row>
    <row r="69" spans="2:2" x14ac:dyDescent="0.15">
      <c r="B69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D13" sqref="D13"/>
    </sheetView>
  </sheetViews>
  <sheetFormatPr defaultRowHeight="13.5" x14ac:dyDescent="0.15"/>
  <cols>
    <col min="1" max="1" width="10.5" bestFit="1" customWidth="1"/>
    <col min="3" max="3" width="12.75" bestFit="1" customWidth="1"/>
    <col min="4" max="4" width="17.25" bestFit="1" customWidth="1"/>
    <col min="5" max="5" width="15.125" bestFit="1" customWidth="1"/>
    <col min="6" max="6" width="13" bestFit="1" customWidth="1"/>
    <col min="7" max="7" width="11.125" bestFit="1" customWidth="1"/>
    <col min="8" max="11" width="13" bestFit="1" customWidth="1"/>
  </cols>
  <sheetData>
    <row r="1" spans="1:11" ht="15.7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" t="s">
        <v>10</v>
      </c>
    </row>
    <row r="2" spans="1:11" ht="15.75" x14ac:dyDescent="0.15">
      <c r="A2" s="3">
        <v>42852</v>
      </c>
      <c r="B2" s="2" t="s">
        <v>11</v>
      </c>
      <c r="C2" s="2" t="s">
        <v>12</v>
      </c>
      <c r="D2" s="2">
        <v>2694</v>
      </c>
      <c r="E2" s="2">
        <v>2001</v>
      </c>
      <c r="F2" s="2">
        <v>807</v>
      </c>
      <c r="G2" s="2">
        <v>228</v>
      </c>
      <c r="H2" s="2">
        <v>34</v>
      </c>
      <c r="I2" s="2">
        <v>663</v>
      </c>
      <c r="J2" s="2">
        <v>41</v>
      </c>
      <c r="K2" s="2">
        <v>449</v>
      </c>
    </row>
    <row r="3" spans="1:11" ht="15.75" x14ac:dyDescent="0.15">
      <c r="A3" s="3">
        <v>42853</v>
      </c>
      <c r="B3" s="2" t="s">
        <v>11</v>
      </c>
      <c r="C3" s="2" t="s">
        <v>12</v>
      </c>
      <c r="D3" s="2">
        <v>6553</v>
      </c>
      <c r="E3" s="2">
        <v>4710</v>
      </c>
      <c r="F3" s="2">
        <v>2479</v>
      </c>
      <c r="G3" s="2">
        <v>755</v>
      </c>
      <c r="H3" s="2">
        <v>61</v>
      </c>
      <c r="I3" s="2">
        <v>1548</v>
      </c>
      <c r="J3" s="2">
        <v>116</v>
      </c>
      <c r="K3" s="2">
        <v>953</v>
      </c>
    </row>
    <row r="4" spans="1:11" ht="15.75" x14ac:dyDescent="0.15">
      <c r="A4" s="3">
        <v>42854</v>
      </c>
      <c r="B4" s="2" t="s">
        <v>11</v>
      </c>
      <c r="C4" s="2" t="s">
        <v>12</v>
      </c>
      <c r="D4" s="2">
        <v>5777</v>
      </c>
      <c r="E4" s="2">
        <v>4002</v>
      </c>
      <c r="F4" s="2">
        <v>2389</v>
      </c>
      <c r="G4" s="2">
        <v>669</v>
      </c>
      <c r="H4" s="2">
        <v>43</v>
      </c>
      <c r="I4" s="2">
        <v>1291</v>
      </c>
      <c r="J4" s="2">
        <v>67</v>
      </c>
      <c r="K4" s="2">
        <v>749</v>
      </c>
    </row>
    <row r="5" spans="1:11" ht="15.75" x14ac:dyDescent="0.15">
      <c r="A5" s="3">
        <v>42855</v>
      </c>
      <c r="B5" s="2" t="s">
        <v>11</v>
      </c>
      <c r="C5" s="2" t="s">
        <v>12</v>
      </c>
      <c r="D5" s="2">
        <v>5373</v>
      </c>
      <c r="E5" s="2">
        <v>3711</v>
      </c>
      <c r="F5" s="2">
        <v>2124</v>
      </c>
      <c r="G5" s="2">
        <v>439</v>
      </c>
      <c r="H5" s="2">
        <v>41</v>
      </c>
      <c r="I5" s="2">
        <v>1366</v>
      </c>
      <c r="J5" s="2">
        <v>76</v>
      </c>
      <c r="K5" s="2">
        <v>775</v>
      </c>
    </row>
    <row r="6" spans="1:11" ht="15.75" x14ac:dyDescent="0.15">
      <c r="A6" s="3">
        <v>42856</v>
      </c>
      <c r="B6" s="2" t="s">
        <v>11</v>
      </c>
      <c r="C6" s="2" t="s">
        <v>12</v>
      </c>
      <c r="D6" s="2">
        <v>5733</v>
      </c>
      <c r="E6" s="2">
        <v>3933</v>
      </c>
      <c r="F6" s="2">
        <v>2301</v>
      </c>
      <c r="G6" s="2">
        <v>433</v>
      </c>
      <c r="H6" s="2">
        <v>56</v>
      </c>
      <c r="I6" s="2">
        <v>1392</v>
      </c>
      <c r="J6" s="2">
        <v>58</v>
      </c>
      <c r="K6" s="2">
        <v>896</v>
      </c>
    </row>
    <row r="7" spans="1:11" ht="15.75" x14ac:dyDescent="0.15">
      <c r="A7" s="3">
        <v>42857</v>
      </c>
      <c r="B7" s="2" t="s">
        <v>11</v>
      </c>
      <c r="C7" s="2" t="s">
        <v>12</v>
      </c>
      <c r="D7" s="2">
        <v>8681</v>
      </c>
      <c r="E7" s="2">
        <v>6641</v>
      </c>
      <c r="F7" s="2">
        <v>2817</v>
      </c>
      <c r="G7" s="2">
        <v>839</v>
      </c>
      <c r="H7" s="2">
        <v>161</v>
      </c>
      <c r="I7" s="2">
        <v>2328</v>
      </c>
      <c r="J7" s="2">
        <v>240</v>
      </c>
      <c r="K7" s="2">
        <v>1278</v>
      </c>
    </row>
    <row r="8" spans="1:11" ht="15.75" x14ac:dyDescent="0.15">
      <c r="A8" s="3">
        <v>42858</v>
      </c>
      <c r="B8" s="2" t="s">
        <v>11</v>
      </c>
      <c r="C8" s="2" t="s">
        <v>12</v>
      </c>
      <c r="D8" s="2">
        <v>10130</v>
      </c>
      <c r="E8" s="2">
        <v>7763</v>
      </c>
      <c r="F8" s="2">
        <v>3314</v>
      </c>
      <c r="G8" s="2">
        <v>943</v>
      </c>
      <c r="H8" s="2">
        <v>175</v>
      </c>
      <c r="I8" s="2">
        <v>2837</v>
      </c>
      <c r="J8" s="2">
        <v>303</v>
      </c>
      <c r="K8" s="2">
        <v>1418</v>
      </c>
    </row>
    <row r="9" spans="1:11" ht="15.75" x14ac:dyDescent="0.15">
      <c r="A9" s="3">
        <v>42859</v>
      </c>
      <c r="B9" s="2" t="s">
        <v>11</v>
      </c>
      <c r="C9" s="2" t="s">
        <v>12</v>
      </c>
      <c r="D9" s="2">
        <v>10213</v>
      </c>
      <c r="E9" s="2">
        <v>7668</v>
      </c>
      <c r="F9" s="2">
        <v>3419</v>
      </c>
      <c r="G9" s="2">
        <v>944</v>
      </c>
      <c r="H9" s="2">
        <v>151</v>
      </c>
      <c r="I9" s="2">
        <v>2740</v>
      </c>
      <c r="J9" s="2">
        <v>257</v>
      </c>
      <c r="K9" s="2">
        <v>1478</v>
      </c>
    </row>
    <row r="10" spans="1:11" ht="15.75" x14ac:dyDescent="0.15">
      <c r="A10" s="3">
        <v>42860</v>
      </c>
      <c r="B10" s="2" t="s">
        <v>11</v>
      </c>
      <c r="C10" s="2" t="s">
        <v>12</v>
      </c>
      <c r="D10" s="2">
        <v>9722</v>
      </c>
      <c r="E10" s="2">
        <v>7343</v>
      </c>
      <c r="F10" s="2">
        <v>3086</v>
      </c>
      <c r="G10" s="2">
        <v>856</v>
      </c>
      <c r="H10" s="2">
        <v>155</v>
      </c>
      <c r="I10" s="2">
        <v>2692</v>
      </c>
      <c r="J10" s="2">
        <v>224</v>
      </c>
      <c r="K10" s="2">
        <v>1434</v>
      </c>
    </row>
    <row r="15" spans="1:11" x14ac:dyDescent="0.15">
      <c r="B15" t="s">
        <v>38</v>
      </c>
      <c r="C15">
        <v>300</v>
      </c>
      <c r="D15" t="s">
        <v>38</v>
      </c>
      <c r="E15">
        <v>300</v>
      </c>
    </row>
    <row r="16" spans="1:11" x14ac:dyDescent="0.15">
      <c r="B16" t="s">
        <v>39</v>
      </c>
      <c r="C16">
        <v>500</v>
      </c>
      <c r="D16" t="s">
        <v>39</v>
      </c>
      <c r="E16">
        <v>500</v>
      </c>
    </row>
    <row r="17" spans="2:5" x14ac:dyDescent="0.15">
      <c r="B17" t="s">
        <v>40</v>
      </c>
      <c r="C17">
        <v>600</v>
      </c>
      <c r="D17" t="s">
        <v>40</v>
      </c>
      <c r="E17">
        <v>600</v>
      </c>
    </row>
    <row r="18" spans="2:5" x14ac:dyDescent="0.15">
      <c r="B18" t="s">
        <v>41</v>
      </c>
      <c r="C18">
        <v>1000</v>
      </c>
      <c r="D18" t="s">
        <v>42</v>
      </c>
      <c r="E18">
        <v>300</v>
      </c>
    </row>
    <row r="19" spans="2:5" x14ac:dyDescent="0.15">
      <c r="B19" t="s">
        <v>42</v>
      </c>
      <c r="C19">
        <v>300</v>
      </c>
      <c r="D19" t="s">
        <v>43</v>
      </c>
      <c r="E19">
        <v>400</v>
      </c>
    </row>
    <row r="20" spans="2:5" x14ac:dyDescent="0.15">
      <c r="B20" t="s">
        <v>43</v>
      </c>
      <c r="C20">
        <v>400</v>
      </c>
      <c r="D20" t="s">
        <v>44</v>
      </c>
      <c r="E20">
        <v>300</v>
      </c>
    </row>
    <row r="21" spans="2:5" x14ac:dyDescent="0.15">
      <c r="B21" t="s">
        <v>44</v>
      </c>
      <c r="C21">
        <v>300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G6" sqref="G6"/>
    </sheetView>
  </sheetViews>
  <sheetFormatPr defaultRowHeight="13.5" x14ac:dyDescent="0.15"/>
  <cols>
    <col min="1" max="1" width="9.5" bestFit="1" customWidth="1"/>
    <col min="2" max="2" width="8.5" bestFit="1" customWidth="1"/>
    <col min="3" max="3" width="12.75" bestFit="1" customWidth="1"/>
    <col min="4" max="4" width="20.5" bestFit="1" customWidth="1"/>
    <col min="5" max="5" width="9.5" bestFit="1" customWidth="1"/>
  </cols>
  <sheetData>
    <row r="1" spans="1:5" ht="15.75" x14ac:dyDescent="0.15">
      <c r="A1" s="2" t="s">
        <v>0</v>
      </c>
      <c r="B1" s="2" t="s">
        <v>24</v>
      </c>
      <c r="C1" s="2" t="s">
        <v>2</v>
      </c>
      <c r="D1" s="2" t="s">
        <v>15</v>
      </c>
      <c r="E1" s="2" t="s">
        <v>13</v>
      </c>
    </row>
    <row r="2" spans="1:5" ht="15.75" x14ac:dyDescent="0.15">
      <c r="A2" s="2">
        <v>20170505</v>
      </c>
      <c r="B2" s="2" t="s">
        <v>25</v>
      </c>
      <c r="C2" s="2" t="s">
        <v>12</v>
      </c>
      <c r="D2" s="2" t="s">
        <v>16</v>
      </c>
      <c r="E2" s="2">
        <v>863</v>
      </c>
    </row>
    <row r="3" spans="1:5" ht="15.75" x14ac:dyDescent="0.15">
      <c r="A3" s="2">
        <v>20170505</v>
      </c>
      <c r="B3" s="2" t="s">
        <v>25</v>
      </c>
      <c r="C3" s="2" t="s">
        <v>12</v>
      </c>
      <c r="D3" s="2" t="s">
        <v>19</v>
      </c>
      <c r="E3" s="2">
        <v>994</v>
      </c>
    </row>
    <row r="4" spans="1:5" ht="15.75" x14ac:dyDescent="0.15">
      <c r="A4" s="2">
        <v>20170505</v>
      </c>
      <c r="B4" s="2" t="s">
        <v>25</v>
      </c>
      <c r="C4" s="2" t="s">
        <v>12</v>
      </c>
      <c r="D4" s="2" t="s">
        <v>21</v>
      </c>
      <c r="E4" s="2">
        <v>538</v>
      </c>
    </row>
    <row r="5" spans="1:5" ht="15.75" x14ac:dyDescent="0.15">
      <c r="A5" s="2">
        <v>20170505</v>
      </c>
      <c r="B5" s="2" t="s">
        <v>25</v>
      </c>
      <c r="C5" s="2" t="s">
        <v>12</v>
      </c>
      <c r="D5" s="2" t="s">
        <v>22</v>
      </c>
      <c r="E5" s="2">
        <v>475</v>
      </c>
    </row>
    <row r="6" spans="1:5" ht="15.75" x14ac:dyDescent="0.15">
      <c r="A6" s="2">
        <v>20170505</v>
      </c>
      <c r="B6" s="2" t="s">
        <v>25</v>
      </c>
      <c r="C6" s="2" t="s">
        <v>12</v>
      </c>
      <c r="D6" s="2" t="s">
        <v>18</v>
      </c>
      <c r="E6" s="2">
        <v>290</v>
      </c>
    </row>
    <row r="7" spans="1:5" ht="15.75" x14ac:dyDescent="0.15">
      <c r="A7" s="2">
        <v>20170505</v>
      </c>
      <c r="B7" s="2" t="s">
        <v>25</v>
      </c>
      <c r="C7" s="2" t="s">
        <v>12</v>
      </c>
      <c r="D7" s="2" t="s">
        <v>14</v>
      </c>
      <c r="E7" s="2">
        <v>249</v>
      </c>
    </row>
    <row r="8" spans="1:5" ht="15.75" x14ac:dyDescent="0.15">
      <c r="A8" s="2">
        <v>20170505</v>
      </c>
      <c r="B8" s="2" t="s">
        <v>25</v>
      </c>
      <c r="C8" s="2" t="s">
        <v>12</v>
      </c>
      <c r="D8" s="2" t="s">
        <v>17</v>
      </c>
      <c r="E8" s="2">
        <v>132</v>
      </c>
    </row>
    <row r="9" spans="1:5" ht="15.75" x14ac:dyDescent="0.15">
      <c r="A9" s="2">
        <v>20170505</v>
      </c>
      <c r="B9" s="2" t="s">
        <v>25</v>
      </c>
      <c r="C9" s="2" t="s">
        <v>12</v>
      </c>
      <c r="D9" s="2" t="s">
        <v>23</v>
      </c>
      <c r="E9" s="2">
        <v>112</v>
      </c>
    </row>
    <row r="10" spans="1:5" ht="15.75" x14ac:dyDescent="0.15">
      <c r="A10" s="2">
        <v>20170505</v>
      </c>
      <c r="B10" s="2" t="s">
        <v>25</v>
      </c>
      <c r="C10" s="2" t="s">
        <v>12</v>
      </c>
      <c r="D10" s="2" t="s">
        <v>20</v>
      </c>
      <c r="E10" s="2">
        <v>44</v>
      </c>
    </row>
    <row r="11" spans="1:5" x14ac:dyDescent="0.15">
      <c r="A11" s="1"/>
      <c r="B11" s="1"/>
      <c r="C11" s="1"/>
    </row>
    <row r="12" spans="1:5" x14ac:dyDescent="0.15">
      <c r="A12" s="1"/>
      <c r="B12" s="1"/>
      <c r="C12" s="1"/>
    </row>
    <row r="13" spans="1:5" x14ac:dyDescent="0.15">
      <c r="A13" s="1"/>
      <c r="B13" s="1"/>
      <c r="C13" s="1"/>
    </row>
  </sheetData>
  <sortState ref="D2:E10">
    <sortCondition descending="1" ref="E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柱形图</vt:lpstr>
      <vt:lpstr>条形图</vt:lpstr>
      <vt:lpstr>折线图</vt:lpstr>
      <vt:lpstr>饼图</vt:lpstr>
      <vt:lpstr>美化图表</vt:lpstr>
      <vt:lpstr>漏斗图</vt:lpstr>
      <vt:lpstr>漏斗图-原始</vt:lpstr>
      <vt:lpstr>散点图</vt:lpstr>
      <vt:lpstr>面积图</vt:lpstr>
      <vt:lpstr>组合图</vt:lpstr>
      <vt:lpstr>簇状+堆积+折线+数据点折线柱形图-转化漏斗</vt:lpstr>
      <vt:lpstr>饼图-直播间内出发注册来源分布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2017-05-27T10:00:48Z</dcterms:modified>
</cp:coreProperties>
</file>