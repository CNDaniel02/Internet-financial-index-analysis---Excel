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trlProps/ctrlProp9.xml" ContentType="application/vnd.ms-excel.controlproperti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E:\02-工作文件-数据分析课程\01-数据分析就业课【教学】\就业班-2019\1906班\03-Excel数据可视化\"/>
    </mc:Choice>
  </mc:AlternateContent>
  <xr:revisionPtr revIDLastSave="0" documentId="13_ncr:1_{A1E2DB10-F27F-4234-82DA-056817661166}" xr6:coauthVersionLast="43" xr6:coauthVersionMax="43" xr10:uidLastSave="{00000000-0000-0000-0000-000000000000}"/>
  <bookViews>
    <workbookView xWindow="-108" yWindow="-108" windowWidth="23256" windowHeight="12720" tabRatio="708" activeTab="2" xr2:uid="{00000000-000D-0000-FFFF-FFFF00000000}"/>
  </bookViews>
  <sheets>
    <sheet name="数据验证&amp;sumifs" sheetId="4" r:id="rId1"/>
    <sheet name="offset" sheetId="12" r:id="rId2"/>
    <sheet name="滚动条控件" sheetId="19" r:id="rId3"/>
    <sheet name="案例1" sheetId="14" r:id="rId4"/>
    <sheet name="案例2【多选控件】" sheetId="15" r:id="rId5"/>
    <sheet name="案例3" sheetId="16" r:id="rId6"/>
    <sheet name="案例4" sheetId="17" r:id="rId7"/>
    <sheet name="案例5" sheetId="18" r:id="rId8"/>
  </sheets>
  <definedNames>
    <definedName name="案例1数据">OFFSET(案例1!$A$1,MATCH(案例1!$B$8,案例1!$A$2:$A$5,0),1,1,8)</definedName>
    <definedName name="案例2充值">OFFSET(案例2【多选控件】!$B$2,1*案例2【多选控件】!$C$8,1,1,8)</definedName>
    <definedName name="案例2提现">OFFSET(案例2【多选控件】!$B$2,2*案例2【多选控件】!$E$8,1,1,8)</definedName>
    <definedName name="案例3数据">OFFSET(案例3!$B$2,案例3!$L$2,1,1,8)</definedName>
    <definedName name="案例4数据">OFFSET(案例4!$B$2,案例4!$L$2,1,1,8)</definedName>
    <definedName name="案例5横坐标">IF(案例5!$I$2=1,OFFSET(案例5!$A$1,0,4,3,1),OFFSET(案例5!$A$1,1,0,8,1))</definedName>
    <definedName name="案例5数据">IF(案例5!$I$2=1,OFFSET(案例5!$A$1,案例5!$N$2,1,1,3),OFFSET(案例5!$A$1,1,案例5!$N$2,8,1))</definedName>
    <definedName name="案例5组合框">IF(案例5!$I$2=1,OFFSET(案例5!$A$1,1,0,8,1),OFFSET(案例5!$A$1,0,4,3,1))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2" i="14" l="1"/>
  <c r="C11" i="4"/>
  <c r="D11" i="4"/>
  <c r="E11" i="4"/>
  <c r="F11" i="4"/>
  <c r="G11" i="4"/>
  <c r="H11" i="4"/>
  <c r="I11" i="4"/>
  <c r="J11" i="4"/>
  <c r="D10" i="4"/>
  <c r="E10" i="4"/>
  <c r="F10" i="4"/>
  <c r="G10" i="4"/>
  <c r="H10" i="4"/>
  <c r="I10" i="4"/>
  <c r="J10" i="4"/>
  <c r="C10" i="4"/>
  <c r="H35" i="12" l="1"/>
</calcChain>
</file>

<file path=xl/sharedStrings.xml><?xml version="1.0" encoding="utf-8"?>
<sst xmlns="http://schemas.openxmlformats.org/spreadsheetml/2006/main" count="143" uniqueCount="61">
  <si>
    <t>1月</t>
  </si>
  <si>
    <t>2月</t>
  </si>
  <si>
    <t>3月</t>
  </si>
  <si>
    <t>4月</t>
  </si>
  <si>
    <t>5月</t>
  </si>
  <si>
    <t>6月</t>
  </si>
  <si>
    <t>7月</t>
  </si>
  <si>
    <t>8月</t>
  </si>
  <si>
    <t>充值金额</t>
  </si>
  <si>
    <t>提现金额</t>
  </si>
  <si>
    <t>投资金额</t>
  </si>
  <si>
    <t>回款金额</t>
  </si>
  <si>
    <t>OFFSET——函数中的极品
             ——复杂的数据汇总、到数据透视表再到高级动态图表</t>
  </si>
  <si>
    <r>
      <rPr>
        <b/>
        <sz val="14"/>
        <color theme="1"/>
        <rFont val="微软雅黑"/>
        <family val="2"/>
        <charset val="134"/>
      </rPr>
      <t xml:space="preserve"> =OFFSET(</t>
    </r>
    <r>
      <rPr>
        <b/>
        <sz val="14"/>
        <color indexed="10"/>
        <rFont val="微软雅黑"/>
        <family val="2"/>
        <charset val="134"/>
      </rPr>
      <t>C3</t>
    </r>
    <r>
      <rPr>
        <b/>
        <sz val="14"/>
        <color indexed="8"/>
        <rFont val="微软雅黑"/>
        <family val="2"/>
        <charset val="134"/>
      </rPr>
      <t>,</t>
    </r>
    <r>
      <rPr>
        <b/>
        <sz val="14"/>
        <color indexed="30"/>
        <rFont val="微软雅黑"/>
        <family val="2"/>
        <charset val="134"/>
      </rPr>
      <t>1</t>
    </r>
    <r>
      <rPr>
        <b/>
        <sz val="14"/>
        <color indexed="8"/>
        <rFont val="微软雅黑"/>
        <family val="2"/>
        <charset val="134"/>
      </rPr>
      <t>,</t>
    </r>
    <r>
      <rPr>
        <b/>
        <sz val="14"/>
        <color indexed="30"/>
        <rFont val="微软雅黑"/>
        <family val="2"/>
        <charset val="134"/>
      </rPr>
      <t>2</t>
    </r>
    <r>
      <rPr>
        <b/>
        <sz val="14"/>
        <color indexed="8"/>
        <rFont val="微软雅黑"/>
        <family val="2"/>
        <charset val="134"/>
      </rPr>
      <t xml:space="preserve">,1,1)
</t>
    </r>
    <r>
      <rPr>
        <sz val="10"/>
        <color indexed="8"/>
        <rFont val="微软雅黑"/>
        <family val="2"/>
        <charset val="134"/>
      </rPr>
      <t>这个函数有5个参数：
第一个参数是基点
第二个参数是要偏移几行，正数向下，负数向上。
第三个参数是要偏移几列，正数向右，负数向左。
第四个参数是新引用几行。
第五个参数是新引用几列。
如果不使用第四个和第五个参数，新引用的区域就是和基点一样的大小。</t>
    </r>
  </si>
  <si>
    <t>具体举例：(红色区域为函数返回结果)</t>
  </si>
  <si>
    <r>
      <rPr>
        <b/>
        <sz val="14"/>
        <color theme="1"/>
        <rFont val="微软雅黑"/>
        <family val="2"/>
        <charset val="134"/>
      </rPr>
      <t xml:space="preserve"> =OFFSET(</t>
    </r>
    <r>
      <rPr>
        <b/>
        <sz val="14"/>
        <color indexed="10"/>
        <rFont val="微软雅黑"/>
        <family val="2"/>
        <charset val="134"/>
      </rPr>
      <t>C10</t>
    </r>
    <r>
      <rPr>
        <b/>
        <sz val="14"/>
        <color indexed="8"/>
        <rFont val="微软雅黑"/>
        <family val="2"/>
        <charset val="134"/>
      </rPr>
      <t>,</t>
    </r>
    <r>
      <rPr>
        <b/>
        <sz val="14"/>
        <color indexed="30"/>
        <rFont val="微软雅黑"/>
        <family val="2"/>
        <charset val="134"/>
      </rPr>
      <t>1</t>
    </r>
    <r>
      <rPr>
        <b/>
        <sz val="14"/>
        <color indexed="8"/>
        <rFont val="微软雅黑"/>
        <family val="2"/>
        <charset val="134"/>
      </rPr>
      <t>,</t>
    </r>
    <r>
      <rPr>
        <b/>
        <sz val="14"/>
        <color indexed="30"/>
        <rFont val="微软雅黑"/>
        <family val="2"/>
        <charset val="134"/>
      </rPr>
      <t>3</t>
    </r>
    <r>
      <rPr>
        <b/>
        <sz val="14"/>
        <color indexed="8"/>
        <rFont val="微软雅黑"/>
        <family val="2"/>
        <charset val="134"/>
      </rPr>
      <t>,1,1)</t>
    </r>
  </si>
  <si>
    <r>
      <rPr>
        <b/>
        <sz val="14"/>
        <color theme="1"/>
        <rFont val="微软雅黑"/>
        <family val="2"/>
        <charset val="134"/>
      </rPr>
      <t xml:space="preserve"> =OFFSET(</t>
    </r>
    <r>
      <rPr>
        <b/>
        <sz val="14"/>
        <color indexed="10"/>
        <rFont val="微软雅黑"/>
        <family val="2"/>
        <charset val="134"/>
      </rPr>
      <t>C16</t>
    </r>
    <r>
      <rPr>
        <b/>
        <sz val="14"/>
        <color indexed="8"/>
        <rFont val="微软雅黑"/>
        <family val="2"/>
        <charset val="134"/>
      </rPr>
      <t>,</t>
    </r>
    <r>
      <rPr>
        <b/>
        <sz val="14"/>
        <color indexed="30"/>
        <rFont val="微软雅黑"/>
        <family val="2"/>
        <charset val="134"/>
      </rPr>
      <t>2</t>
    </r>
    <r>
      <rPr>
        <b/>
        <sz val="14"/>
        <color indexed="8"/>
        <rFont val="微软雅黑"/>
        <family val="2"/>
        <charset val="134"/>
      </rPr>
      <t>,</t>
    </r>
    <r>
      <rPr>
        <b/>
        <sz val="14"/>
        <color indexed="30"/>
        <rFont val="微软雅黑"/>
        <family val="2"/>
        <charset val="134"/>
      </rPr>
      <t>3</t>
    </r>
    <r>
      <rPr>
        <b/>
        <sz val="14"/>
        <color indexed="8"/>
        <rFont val="微软雅黑"/>
        <family val="2"/>
        <charset val="134"/>
      </rPr>
      <t>,2,1)</t>
    </r>
  </si>
  <si>
    <r>
      <rPr>
        <b/>
        <sz val="14"/>
        <color theme="1"/>
        <rFont val="微软雅黑"/>
        <family val="2"/>
        <charset val="134"/>
      </rPr>
      <t xml:space="preserve"> =OFFSET(</t>
    </r>
    <r>
      <rPr>
        <b/>
        <sz val="14"/>
        <color indexed="10"/>
        <rFont val="微软雅黑"/>
        <family val="2"/>
        <charset val="134"/>
      </rPr>
      <t>C22</t>
    </r>
    <r>
      <rPr>
        <b/>
        <sz val="14"/>
        <color indexed="8"/>
        <rFont val="微软雅黑"/>
        <family val="2"/>
        <charset val="134"/>
      </rPr>
      <t>,</t>
    </r>
    <r>
      <rPr>
        <b/>
        <sz val="14"/>
        <color indexed="30"/>
        <rFont val="微软雅黑"/>
        <family val="2"/>
        <charset val="134"/>
      </rPr>
      <t>0</t>
    </r>
    <r>
      <rPr>
        <b/>
        <sz val="14"/>
        <color indexed="8"/>
        <rFont val="微软雅黑"/>
        <family val="2"/>
        <charset val="134"/>
      </rPr>
      <t>,</t>
    </r>
    <r>
      <rPr>
        <b/>
        <sz val="14"/>
        <color indexed="30"/>
        <rFont val="微软雅黑"/>
        <family val="2"/>
        <charset val="134"/>
      </rPr>
      <t>2</t>
    </r>
    <r>
      <rPr>
        <b/>
        <sz val="14"/>
        <color indexed="8"/>
        <rFont val="微软雅黑"/>
        <family val="2"/>
        <charset val="134"/>
      </rPr>
      <t>,3,4)</t>
    </r>
  </si>
  <si>
    <t>变动方法：</t>
  </si>
  <si>
    <t xml:space="preserve">    通过上面三个案例，我们发现Offset的返回结果可以是一个数据区域。正常情况下，我们是可以用鼠标选中一个连续区域去绘制图表的，这也就使Offset的返回结果可以成为图表的数据源。
    接下来,我们只要通过调整Offset参数的数值,就可以随时改变该参数引用的区域了。
    比如下面的例子，我们将Offset的第2、3个参数制定在D44和F44单元格上，那么我们只要随时改变单元格的数值，就可以改变选中区域（即红色区域）了。</t>
  </si>
  <si>
    <t xml:space="preserve">参数2： </t>
  </si>
  <si>
    <t>参数3：</t>
  </si>
  <si>
    <t>公式</t>
  </si>
  <si>
    <r>
      <rPr>
        <b/>
        <sz val="10"/>
        <color theme="1"/>
        <rFont val="微软雅黑"/>
        <family val="2"/>
        <charset val="134"/>
      </rPr>
      <t xml:space="preserve"> =OFFSET(</t>
    </r>
    <r>
      <rPr>
        <b/>
        <sz val="10"/>
        <color indexed="10"/>
        <rFont val="微软雅黑"/>
        <family val="2"/>
        <charset val="134"/>
      </rPr>
      <t>C46</t>
    </r>
    <r>
      <rPr>
        <b/>
        <sz val="10"/>
        <color indexed="8"/>
        <rFont val="微软雅黑"/>
        <family val="2"/>
        <charset val="134"/>
      </rPr>
      <t>,</t>
    </r>
    <r>
      <rPr>
        <b/>
        <sz val="10"/>
        <color indexed="30"/>
        <rFont val="微软雅黑"/>
        <family val="2"/>
        <charset val="134"/>
      </rPr>
      <t>D44</t>
    </r>
    <r>
      <rPr>
        <b/>
        <sz val="10"/>
        <color indexed="8"/>
        <rFont val="微软雅黑"/>
        <family val="2"/>
        <charset val="134"/>
      </rPr>
      <t>,</t>
    </r>
    <r>
      <rPr>
        <b/>
        <sz val="10"/>
        <color indexed="30"/>
        <rFont val="微软雅黑"/>
        <family val="2"/>
        <charset val="134"/>
      </rPr>
      <t>F44</t>
    </r>
    <r>
      <rPr>
        <b/>
        <sz val="10"/>
        <color indexed="8"/>
        <rFont val="微软雅黑"/>
        <family val="2"/>
        <charset val="134"/>
      </rPr>
      <t>,1,1)</t>
    </r>
  </si>
  <si>
    <t>实际结果：</t>
  </si>
  <si>
    <r>
      <rPr>
        <sz val="11"/>
        <color theme="1"/>
        <rFont val="微软雅黑"/>
        <family val="2"/>
        <charset val="134"/>
      </rPr>
      <t xml:space="preserve">    当如上面案例所示时，参数2等于1，参数3等于2，那么实际结果为9，即从C46开始</t>
    </r>
    <r>
      <rPr>
        <sz val="11"/>
        <color indexed="8"/>
        <rFont val="微软雅黑"/>
        <family val="2"/>
        <charset val="134"/>
      </rPr>
      <t>下移一行右移两行以后的1行1列的区域。如果我们将D44和F44分别改称3和1，发现实际结果会改为20。这时候，通过更改函数参数来更改选择区域的效果就实现了。
    如果上面的变化原理你理解了，那么恭喜你，最基本的变动图表原理你已经掌握了。下一步，我们就要学习如何把可变动的Offset函数返回值变成图表的过程了。</t>
    </r>
  </si>
  <si>
    <t>日期</t>
    <phoneticPr fontId="17" type="noConversion"/>
  </si>
  <si>
    <t>数据源</t>
    <phoneticPr fontId="17" type="noConversion"/>
  </si>
  <si>
    <t>查看</t>
    <phoneticPr fontId="17" type="noConversion"/>
  </si>
  <si>
    <t>走势</t>
    <phoneticPr fontId="17" type="noConversion"/>
  </si>
  <si>
    <t>分析</t>
    <phoneticPr fontId="17" type="noConversion"/>
  </si>
  <si>
    <t>offset(A1,1,1,1,8)</t>
    <phoneticPr fontId="17" type="noConversion"/>
  </si>
  <si>
    <t>offset(A1,3,1,1,8)</t>
    <phoneticPr fontId="17" type="noConversion"/>
  </si>
  <si>
    <t>查看</t>
    <phoneticPr fontId="17" type="noConversion"/>
  </si>
  <si>
    <t>走势</t>
    <phoneticPr fontId="17" type="noConversion"/>
  </si>
  <si>
    <t>match</t>
    <phoneticPr fontId="17" type="noConversion"/>
  </si>
  <si>
    <t>offset(A1,2,1,1,8)</t>
    <phoneticPr fontId="17" type="noConversion"/>
  </si>
  <si>
    <t>offset(B2,1*C8,1,1,8)</t>
    <phoneticPr fontId="17" type="noConversion"/>
  </si>
  <si>
    <r>
      <t>o</t>
    </r>
    <r>
      <rPr>
        <sz val="11"/>
        <color theme="1"/>
        <rFont val="宋体"/>
        <family val="3"/>
        <charset val="134"/>
        <scheme val="minor"/>
      </rPr>
      <t>ffset(B2,2*E8,1,1,8)</t>
    </r>
    <phoneticPr fontId="17" type="noConversion"/>
  </si>
  <si>
    <t>offset(B2,3*G8,1,1,8)</t>
    <phoneticPr fontId="17" type="noConversion"/>
  </si>
  <si>
    <t>offset(B2,4*I8,1,1,8)</t>
    <phoneticPr fontId="17" type="noConversion"/>
  </si>
  <si>
    <r>
      <t>o</t>
    </r>
    <r>
      <rPr>
        <sz val="11"/>
        <color theme="1"/>
        <rFont val="宋体"/>
        <family val="3"/>
        <charset val="134"/>
        <scheme val="minor"/>
      </rPr>
      <t>ffset(B2,L2,1,1,8)</t>
    </r>
    <phoneticPr fontId="17" type="noConversion"/>
  </si>
  <si>
    <t>交易日期</t>
  </si>
  <si>
    <t>凤凰</t>
  </si>
  <si>
    <t>pc自来源</t>
  </si>
  <si>
    <t>app自来源</t>
  </si>
  <si>
    <t>单选控件</t>
    <phoneticPr fontId="17" type="noConversion"/>
  </si>
  <si>
    <t>组合框</t>
    <phoneticPr fontId="17" type="noConversion"/>
  </si>
  <si>
    <t>组合框的内容</t>
    <phoneticPr fontId="17" type="noConversion"/>
  </si>
  <si>
    <r>
      <t>o</t>
    </r>
    <r>
      <rPr>
        <sz val="11"/>
        <color theme="1"/>
        <rFont val="宋体"/>
        <family val="3"/>
        <charset val="134"/>
        <scheme val="minor"/>
      </rPr>
      <t>ffset(A1,1,0,8,1)</t>
    </r>
    <phoneticPr fontId="17" type="noConversion"/>
  </si>
  <si>
    <t>offset(A1,0,4,3,1)</t>
    <phoneticPr fontId="17" type="noConversion"/>
  </si>
  <si>
    <t>if(I2=1,offset(A1,1,0,8,1),offset(A1,0,4,3,1))</t>
    <phoneticPr fontId="17" type="noConversion"/>
  </si>
  <si>
    <t>组合框控件</t>
    <phoneticPr fontId="17" type="noConversion"/>
  </si>
  <si>
    <t>数据源</t>
    <phoneticPr fontId="17" type="noConversion"/>
  </si>
  <si>
    <t>单选</t>
    <phoneticPr fontId="17" type="noConversion"/>
  </si>
  <si>
    <t>offset(A1,N2,1,1,3)</t>
    <phoneticPr fontId="17" type="noConversion"/>
  </si>
  <si>
    <t>offset(A1,1,N2,8,1)</t>
    <phoneticPr fontId="17" type="noConversion"/>
  </si>
  <si>
    <r>
      <t>i</t>
    </r>
    <r>
      <rPr>
        <sz val="11"/>
        <color theme="1"/>
        <rFont val="宋体"/>
        <family val="3"/>
        <charset val="134"/>
        <scheme val="minor"/>
      </rPr>
      <t>f(I2=1,offset(A1,N2,1,1,3),offset(A1,1,N2,8,1))</t>
    </r>
    <phoneticPr fontId="17" type="noConversion"/>
  </si>
  <si>
    <t>横坐标</t>
    <phoneticPr fontId="17" type="noConversion"/>
  </si>
  <si>
    <r>
      <t>o</t>
    </r>
    <r>
      <rPr>
        <sz val="11"/>
        <color theme="1"/>
        <rFont val="宋体"/>
        <family val="3"/>
        <charset val="134"/>
        <scheme val="minor"/>
      </rPr>
      <t>ffset(A1,0,4,3,1)</t>
    </r>
    <phoneticPr fontId="17" type="noConversion"/>
  </si>
  <si>
    <t>if(I2=1,offset(A1,0,4,3,1),offset(A1,1,0,8,1))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</si>
</sst>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20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4"/>
      <color indexed="10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4"/>
      <color indexed="3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indexed="3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9"/>
      <color rgb="FF000000"/>
      <name val="Microsoft YaHei U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177" fontId="1" fillId="4" borderId="3" xfId="1" applyNumberFormat="1" applyFont="1" applyFill="1" applyBorder="1" applyAlignment="1">
      <alignment horizontal="center" vertical="center"/>
    </xf>
    <xf numFmtId="177" fontId="1" fillId="5" borderId="3" xfId="1" applyNumberFormat="1" applyFont="1" applyFill="1" applyBorder="1" applyAlignment="1">
      <alignment horizontal="center" vertical="center"/>
    </xf>
    <xf numFmtId="177" fontId="1" fillId="4" borderId="0" xfId="1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177" fontId="4" fillId="3" borderId="3" xfId="1" applyNumberFormat="1" applyFont="1" applyFill="1" applyBorder="1" applyAlignment="1">
      <alignment horizontal="center" vertical="center"/>
    </xf>
    <xf numFmtId="177" fontId="2" fillId="4" borderId="2" xfId="1" applyNumberFormat="1" applyFont="1" applyFill="1" applyBorder="1" applyAlignment="1">
      <alignment horizontal="center" vertical="center"/>
    </xf>
    <xf numFmtId="177" fontId="2" fillId="5" borderId="2" xfId="1" applyNumberFormat="1" applyFont="1" applyFill="1" applyBorder="1" applyAlignment="1">
      <alignment horizontal="center" vertical="center"/>
    </xf>
    <xf numFmtId="1" fontId="1" fillId="0" borderId="0" xfId="0" applyNumberFormat="1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176" fontId="7" fillId="0" borderId="4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vertical="center"/>
    </xf>
    <xf numFmtId="0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 applyFill="1">
      <alignment vertical="center"/>
    </xf>
    <xf numFmtId="177" fontId="4" fillId="3" borderId="2" xfId="1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177" fontId="18" fillId="7" borderId="0" xfId="0" applyNumberFormat="1" applyFont="1" applyFill="1" applyAlignment="1">
      <alignment horizontal="center" vertical="center"/>
    </xf>
    <xf numFmtId="0" fontId="8" fillId="0" borderId="0" xfId="0" applyFont="1">
      <alignment vertical="center"/>
    </xf>
    <xf numFmtId="0" fontId="18" fillId="7" borderId="0" xfId="0" applyFont="1" applyFill="1">
      <alignment vertical="center"/>
    </xf>
    <xf numFmtId="177" fontId="4" fillId="3" borderId="0" xfId="1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177" fontId="2" fillId="2" borderId="1" xfId="1" applyNumberFormat="1" applyFont="1" applyFill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数据</c:v>
          </c:tx>
          <c:spPr>
            <a:ln w="381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'数据验证&amp;sumifs'!$C$10:$J$10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'数据验证&amp;sumifs'!$C$11:$J$11</c:f>
              <c:numCache>
                <c:formatCode>0_);[Red]\(0\)</c:formatCode>
                <c:ptCount val="8"/>
                <c:pt idx="0">
                  <c:v>138905.89180000001</c:v>
                </c:pt>
                <c:pt idx="1">
                  <c:v>126517.0953</c:v>
                </c:pt>
                <c:pt idx="2">
                  <c:v>164690.87789999999</c:v>
                </c:pt>
                <c:pt idx="3">
                  <c:v>149908.03</c:v>
                </c:pt>
                <c:pt idx="4">
                  <c:v>153315.8334</c:v>
                </c:pt>
                <c:pt idx="5">
                  <c:v>160130.33660000001</c:v>
                </c:pt>
                <c:pt idx="6">
                  <c:v>139722.99110000001</c:v>
                </c:pt>
                <c:pt idx="7">
                  <c:v>184621.64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EB-4B00-A221-32756AD55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365296"/>
        <c:axId val="1903314384"/>
      </c:lineChart>
      <c:catAx>
        <c:axId val="189436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3314384"/>
        <c:crosses val="autoZero"/>
        <c:auto val="1"/>
        <c:lblAlgn val="ctr"/>
        <c:lblOffset val="100"/>
        <c:noMultiLvlLbl val="0"/>
      </c:catAx>
      <c:valAx>
        <c:axId val="1903314384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436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数据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案例1!$B$1:$I$1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[0]!案例1数据</c:f>
              <c:numCache>
                <c:formatCode>0_);[Red]\(0\)</c:formatCode>
                <c:ptCount val="8"/>
                <c:pt idx="0">
                  <c:v>118181.316296</c:v>
                </c:pt>
                <c:pt idx="1">
                  <c:v>99099.230947999997</c:v>
                </c:pt>
                <c:pt idx="2">
                  <c:v>129451.363004</c:v>
                </c:pt>
                <c:pt idx="3">
                  <c:v>121983.991515</c:v>
                </c:pt>
                <c:pt idx="4">
                  <c:v>111410.697839</c:v>
                </c:pt>
                <c:pt idx="5">
                  <c:v>115344.074077</c:v>
                </c:pt>
                <c:pt idx="6">
                  <c:v>101106.093308</c:v>
                </c:pt>
                <c:pt idx="7">
                  <c:v>118260.54954399999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D6-46E3-AFC4-AB83FFB96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547856"/>
        <c:axId val="1903316880"/>
      </c:lineChart>
      <c:catAx>
        <c:axId val="188954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3316880"/>
        <c:crosses val="autoZero"/>
        <c:auto val="1"/>
        <c:lblAlgn val="ctr"/>
        <c:lblOffset val="100"/>
        <c:noMultiLvlLbl val="0"/>
      </c:catAx>
      <c:valAx>
        <c:axId val="1903316880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9547856"/>
        <c:crosses val="autoZero"/>
        <c:crossBetween val="between"/>
      </c:valAx>
      <c:spPr>
        <a:pattFill prst="smConfetti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充值金额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案例2【多选控件】!$C$2:$J$2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[0]!案例2充值</c:f>
              <c:numCache>
                <c:formatCode>0_);[Red]\(0\)</c:formatCode>
                <c:ptCount val="8"/>
                <c:pt idx="0">
                  <c:v>118181.316296</c:v>
                </c:pt>
                <c:pt idx="1">
                  <c:v>99099.230947999997</c:v>
                </c:pt>
                <c:pt idx="2">
                  <c:v>129451.363004</c:v>
                </c:pt>
                <c:pt idx="3">
                  <c:v>121983.991515</c:v>
                </c:pt>
                <c:pt idx="4">
                  <c:v>111410.697839</c:v>
                </c:pt>
                <c:pt idx="5">
                  <c:v>115344.074077</c:v>
                </c:pt>
                <c:pt idx="6">
                  <c:v>101106.093308</c:v>
                </c:pt>
                <c:pt idx="7">
                  <c:v>118260.54954399999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6C-4D43-872C-9BA0EC7EE63C}"/>
            </c:ext>
          </c:extLst>
        </c:ser>
        <c:ser>
          <c:idx val="1"/>
          <c:order val="1"/>
          <c:tx>
            <c:v>提现金额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案例2【多选控件】!$C$2:$J$2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[0]!案例2提现</c:f>
              <c:numCache>
                <c:formatCode>0_);[Red]\(0\)</c:formatCode>
                <c:ptCount val="8"/>
                <c:pt idx="0">
                  <c:v>24044.598374000001</c:v>
                </c:pt>
                <c:pt idx="1">
                  <c:v>31809.378601</c:v>
                </c:pt>
                <c:pt idx="2">
                  <c:v>35616.879901</c:v>
                </c:pt>
                <c:pt idx="3">
                  <c:v>33394.782001</c:v>
                </c:pt>
                <c:pt idx="4">
                  <c:v>39940.593720999997</c:v>
                </c:pt>
                <c:pt idx="5">
                  <c:v>49123.01986</c:v>
                </c:pt>
                <c:pt idx="6">
                  <c:v>34031.109063999997</c:v>
                </c:pt>
                <c:pt idx="7">
                  <c:v>49902.953357999999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F6C-4D43-872C-9BA0EC7EE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565856"/>
        <c:axId val="2099398448"/>
      </c:lineChart>
      <c:catAx>
        <c:axId val="18895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9398448"/>
        <c:crosses val="autoZero"/>
        <c:auto val="1"/>
        <c:lblAlgn val="ctr"/>
        <c:lblOffset val="100"/>
        <c:noMultiLvlLbl val="0"/>
      </c:catAx>
      <c:valAx>
        <c:axId val="209939844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9565856"/>
        <c:crosses val="autoZero"/>
        <c:crossBetween val="between"/>
      </c:valAx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数据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案例3!$C$2:$J$2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[0]!案例3数据</c:f>
              <c:numCache>
                <c:formatCode>0_);[Red]\(0\)</c:formatCode>
                <c:ptCount val="8"/>
                <c:pt idx="0">
                  <c:v>24044.598374000001</c:v>
                </c:pt>
                <c:pt idx="1">
                  <c:v>31809.378601</c:v>
                </c:pt>
                <c:pt idx="2">
                  <c:v>35616.879901</c:v>
                </c:pt>
                <c:pt idx="3">
                  <c:v>33394.782001</c:v>
                </c:pt>
                <c:pt idx="4">
                  <c:v>39940.593720999997</c:v>
                </c:pt>
                <c:pt idx="5">
                  <c:v>49123.01986</c:v>
                </c:pt>
                <c:pt idx="6">
                  <c:v>34031.109063999997</c:v>
                </c:pt>
                <c:pt idx="7">
                  <c:v>49902.953357999999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C-476F-BD72-D5A7D2276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89574656"/>
        <c:axId val="2099865184"/>
      </c:barChart>
      <c:catAx>
        <c:axId val="188957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9865184"/>
        <c:crosses val="autoZero"/>
        <c:auto val="1"/>
        <c:lblAlgn val="ctr"/>
        <c:lblOffset val="100"/>
        <c:noMultiLvlLbl val="0"/>
      </c:catAx>
      <c:valAx>
        <c:axId val="2099865184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957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数据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案例4!$C$2:$J$2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[0]!案例4数据</c:f>
              <c:numCache>
                <c:formatCode>0_);[Red]\(0\)</c:formatCode>
                <c:ptCount val="8"/>
                <c:pt idx="0">
                  <c:v>51046.763751998602</c:v>
                </c:pt>
                <c:pt idx="1">
                  <c:v>72721.2144649978</c:v>
                </c:pt>
                <c:pt idx="2">
                  <c:v>76626.572034997997</c:v>
                </c:pt>
                <c:pt idx="3">
                  <c:v>71047.033624995704</c:v>
                </c:pt>
                <c:pt idx="4">
                  <c:v>85999.501089995101</c:v>
                </c:pt>
                <c:pt idx="5">
                  <c:v>105711.198024995</c:v>
                </c:pt>
                <c:pt idx="6">
                  <c:v>78740.848078999799</c:v>
                </c:pt>
                <c:pt idx="7">
                  <c:v>141029.930174999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70-4B38-8DC4-381341335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490656"/>
        <c:axId val="2099876832"/>
      </c:lineChart>
      <c:catAx>
        <c:axId val="188949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9876832"/>
        <c:crosses val="autoZero"/>
        <c:auto val="1"/>
        <c:lblAlgn val="ctr"/>
        <c:lblOffset val="100"/>
        <c:noMultiLvlLbl val="0"/>
      </c:catAx>
      <c:valAx>
        <c:axId val="2099876832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9490656"/>
        <c:crosses val="autoZero"/>
        <c:crossBetween val="between"/>
      </c:valAx>
      <c:spPr>
        <a:pattFill prst="pct10">
          <a:fgClr>
            <a:schemeClr val="tx2">
              <a:lumMod val="20000"/>
              <a:lumOff val="80000"/>
            </a:schemeClr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10">
      <a:fgClr>
        <a:schemeClr val="tx2">
          <a:lumMod val="20000"/>
          <a:lumOff val="8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90099077929396"/>
          <c:y val="0.17685185185185184"/>
          <c:w val="0.83019499525910045"/>
          <c:h val="0.71243875765529308"/>
        </c:manualLayout>
      </c:layout>
      <c:lineChart>
        <c:grouping val="standard"/>
        <c:varyColors val="0"/>
        <c:ser>
          <c:idx val="0"/>
          <c:order val="0"/>
          <c:tx>
            <c:v>数据</c:v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[0]!案例5横坐标</c:f>
              <c:strCache>
                <c:ptCount val="3"/>
                <c:pt idx="0">
                  <c:v>凤凰</c:v>
                </c:pt>
                <c:pt idx="1">
                  <c:v>pc自来源</c:v>
                </c:pt>
                <c:pt idx="2">
                  <c:v>app自来源</c:v>
                </c:pt>
              </c:strCache>
            </c:strRef>
          </c:cat>
          <c:val>
            <c:numRef>
              <c:f>[0]!案例5数据</c:f>
              <c:numCache>
                <c:formatCode>0</c:formatCode>
                <c:ptCount val="3"/>
                <c:pt idx="0">
                  <c:v>9909.9230948000004</c:v>
                </c:pt>
                <c:pt idx="1">
                  <c:v>3180.9378600999999</c:v>
                </c:pt>
                <c:pt idx="2">
                  <c:v>12651.70953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ED-434F-99B3-8E4439861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539856"/>
        <c:axId val="68357136"/>
      </c:lineChart>
      <c:catAx>
        <c:axId val="188953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68357136"/>
        <c:crosses val="autoZero"/>
        <c:auto val="1"/>
        <c:lblAlgn val="ctr"/>
        <c:lblOffset val="100"/>
        <c:noMultiLvlLbl val="0"/>
      </c:catAx>
      <c:valAx>
        <c:axId val="6835713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889539856"/>
        <c:crosses val="autoZero"/>
        <c:crossBetween val="between"/>
      </c:valAx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C$8" lockText="1" noThreeD="1"/>
</file>

<file path=xl/ctrlProps/ctrlProp2.xml><?xml version="1.0" encoding="utf-8"?>
<formControlPr xmlns="http://schemas.microsoft.com/office/spreadsheetml/2009/9/main" objectType="CheckBox" checked="Checked" fmlaLink="$E$8" lockText="1" noThreeD="1"/>
</file>

<file path=xl/ctrlProps/ctrlProp3.xml><?xml version="1.0" encoding="utf-8"?>
<formControlPr xmlns="http://schemas.microsoft.com/office/spreadsheetml/2009/9/main" objectType="CheckBox" fmlaLink="$G$8" lockText="1" noThreeD="1"/>
</file>

<file path=xl/ctrlProps/ctrlProp4.xml><?xml version="1.0" encoding="utf-8"?>
<formControlPr xmlns="http://schemas.microsoft.com/office/spreadsheetml/2009/9/main" objectType="CheckBox" fmlaLink="$I$8" lockText="1" noThreeD="1"/>
</file>

<file path=xl/ctrlProps/ctrlProp5.xml><?xml version="1.0" encoding="utf-8"?>
<formControlPr xmlns="http://schemas.microsoft.com/office/spreadsheetml/2009/9/main" objectType="Radio" firstButton="1" fmlaLink="$L$2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Drop" dropStyle="combo" dx="26" fmlaLink="$L$2" fmlaRange="$B$3:$B$6" noThreeD="1" sel="4" val="0"/>
</file>

<file path=xl/ctrlProps/ctrlProp10.xml><?xml version="1.0" encoding="utf-8"?>
<formControlPr xmlns="http://schemas.microsoft.com/office/spreadsheetml/2009/9/main" objectType="Radio" checked="Checked" firstButton="1" fmlaLink="$I$2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Drop" dropStyle="combo" dx="26" fmlaLink="$N$2" fmlaRange="[0]!案例5组合框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19050</xdr:rowOff>
    </xdr:from>
    <xdr:to>
      <xdr:col>10</xdr:col>
      <xdr:colOff>0</xdr:colOff>
      <xdr:row>23</xdr:row>
      <xdr:rowOff>6350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8</xdr:row>
      <xdr:rowOff>19050</xdr:rowOff>
    </xdr:from>
    <xdr:to>
      <xdr:col>7</xdr:col>
      <xdr:colOff>25400</xdr:colOff>
      <xdr:row>23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175260</xdr:rowOff>
        </xdr:from>
        <xdr:to>
          <xdr:col>3</xdr:col>
          <xdr:colOff>99060</xdr:colOff>
          <xdr:row>10</xdr:row>
          <xdr:rowOff>45720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充值金额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8</xdr:row>
          <xdr:rowOff>152400</xdr:rowOff>
        </xdr:from>
        <xdr:to>
          <xdr:col>5</xdr:col>
          <xdr:colOff>38100</xdr:colOff>
          <xdr:row>10</xdr:row>
          <xdr:rowOff>45720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提现金额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594360</xdr:colOff>
          <xdr:row>8</xdr:row>
          <xdr:rowOff>160020</xdr:rowOff>
        </xdr:from>
        <xdr:to>
          <xdr:col>6</xdr:col>
          <xdr:colOff>601980</xdr:colOff>
          <xdr:row>10</xdr:row>
          <xdr:rowOff>53340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投资金额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8</xdr:row>
          <xdr:rowOff>137160</xdr:rowOff>
        </xdr:from>
        <xdr:to>
          <xdr:col>9</xdr:col>
          <xdr:colOff>137160</xdr:colOff>
          <xdr:row>10</xdr:row>
          <xdr:rowOff>30480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回款金额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6350</xdr:colOff>
      <xdr:row>10</xdr:row>
      <xdr:rowOff>12700</xdr:rowOff>
    </xdr:from>
    <xdr:to>
      <xdr:col>9</xdr:col>
      <xdr:colOff>596900</xdr:colOff>
      <xdr:row>24</xdr:row>
      <xdr:rowOff>177800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7</xdr:row>
          <xdr:rowOff>160020</xdr:rowOff>
        </xdr:from>
        <xdr:to>
          <xdr:col>3</xdr:col>
          <xdr:colOff>137160</xdr:colOff>
          <xdr:row>9</xdr:row>
          <xdr:rowOff>45720</xdr:rowOff>
        </xdr:to>
        <xdr:sp macro="" textlink="">
          <xdr:nvSpPr>
            <xdr:cNvPr id="6145" name="Option 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充值金额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7</xdr:row>
          <xdr:rowOff>175260</xdr:rowOff>
        </xdr:from>
        <xdr:to>
          <xdr:col>5</xdr:col>
          <xdr:colOff>175260</xdr:colOff>
          <xdr:row>9</xdr:row>
          <xdr:rowOff>68580</xdr:rowOff>
        </xdr:to>
        <xdr:sp macro="" textlink="">
          <xdr:nvSpPr>
            <xdr:cNvPr id="6146" name="Option 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4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提现金额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167640</xdr:rowOff>
        </xdr:from>
        <xdr:to>
          <xdr:col>7</xdr:col>
          <xdr:colOff>91440</xdr:colOff>
          <xdr:row>9</xdr:row>
          <xdr:rowOff>60960</xdr:rowOff>
        </xdr:to>
        <xdr:sp macro="" textlink="">
          <xdr:nvSpPr>
            <xdr:cNvPr id="6147" name="Option Butto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4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投资金额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594360</xdr:colOff>
          <xdr:row>8</xdr:row>
          <xdr:rowOff>7620</xdr:rowOff>
        </xdr:from>
        <xdr:to>
          <xdr:col>9</xdr:col>
          <xdr:colOff>15240</xdr:colOff>
          <xdr:row>9</xdr:row>
          <xdr:rowOff>83820</xdr:rowOff>
        </xdr:to>
        <xdr:sp macro="" textlink="">
          <xdr:nvSpPr>
            <xdr:cNvPr id="6148" name="Option 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4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回款金额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25400</xdr:colOff>
      <xdr:row>9</xdr:row>
      <xdr:rowOff>44450</xdr:rowOff>
    </xdr:from>
    <xdr:to>
      <xdr:col>9</xdr:col>
      <xdr:colOff>330200</xdr:colOff>
      <xdr:row>24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15240</xdr:rowOff>
        </xdr:from>
        <xdr:to>
          <xdr:col>3</xdr:col>
          <xdr:colOff>91440</xdr:colOff>
          <xdr:row>8</xdr:row>
          <xdr:rowOff>38100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5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19050</xdr:colOff>
      <xdr:row>8</xdr:row>
      <xdr:rowOff>63500</xdr:rowOff>
    </xdr:from>
    <xdr:to>
      <xdr:col>9</xdr:col>
      <xdr:colOff>323850</xdr:colOff>
      <xdr:row>23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737870</xdr:colOff>
      <xdr:row>8</xdr:row>
      <xdr:rowOff>148590</xdr:rowOff>
    </xdr:from>
    <xdr:to>
      <xdr:col>10</xdr:col>
      <xdr:colOff>584200</xdr:colOff>
      <xdr:row>25</xdr:row>
      <xdr:rowOff>0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3385820" y="1723390"/>
          <a:ext cx="3681730" cy="2994660"/>
          <a:chOff x="3417570" y="1742440"/>
          <a:chExt cx="3681730" cy="299466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3" name="Option Button 1" hidden="1">
                <a:extLst>
                  <a:ext uri="{63B3BB69-23CF-44E3-9099-C40C66FF867C}">
                    <a14:compatExt spid="_x0000_s8193"/>
                  </a:ext>
                  <a:ext uri="{FF2B5EF4-FFF2-40B4-BE49-F238E27FC236}">
                    <a16:creationId xmlns:a16="http://schemas.microsoft.com/office/drawing/2014/main" id="{00000000-0008-0000-0600-000001200000}"/>
                  </a:ext>
                </a:extLst>
              </xdr:cNvPr>
              <xdr:cNvSpPr/>
            </xdr:nvSpPr>
            <xdr:spPr bwMode="auto">
              <a:xfrm>
                <a:off x="3417570" y="1742440"/>
                <a:ext cx="71882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按日期查询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4" name="Option Button 2" hidden="1">
                <a:extLst>
                  <a:ext uri="{63B3BB69-23CF-44E3-9099-C40C66FF867C}">
                    <a14:compatExt spid="_x0000_s8194"/>
                  </a:ext>
                  <a:ext uri="{FF2B5EF4-FFF2-40B4-BE49-F238E27FC236}">
                    <a16:creationId xmlns:a16="http://schemas.microsoft.com/office/drawing/2014/main" id="{00000000-0008-0000-0600-000002200000}"/>
                  </a:ext>
                </a:extLst>
              </xdr:cNvPr>
              <xdr:cNvSpPr/>
            </xdr:nvSpPr>
            <xdr:spPr bwMode="auto">
              <a:xfrm>
                <a:off x="4456430" y="1742440"/>
                <a:ext cx="800100" cy="259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按照渠道查询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5" name="Drop Down 3" hidden="1">
                <a:extLst>
                  <a:ext uri="{63B3BB69-23CF-44E3-9099-C40C66FF867C}">
                    <a14:compatExt spid="_x0000_s8195"/>
                  </a:ext>
                  <a:ext uri="{FF2B5EF4-FFF2-40B4-BE49-F238E27FC236}">
                    <a16:creationId xmlns:a16="http://schemas.microsoft.com/office/drawing/2014/main" id="{00000000-0008-0000-0600-000003200000}"/>
                  </a:ext>
                </a:extLst>
              </xdr:cNvPr>
              <xdr:cNvSpPr/>
            </xdr:nvSpPr>
            <xdr:spPr bwMode="auto">
              <a:xfrm>
                <a:off x="6148070" y="1779270"/>
                <a:ext cx="922020" cy="19939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600-000002000000}"/>
              </a:ext>
            </a:extLst>
          </xdr:cNvPr>
          <xdr:cNvGraphicFramePr/>
        </xdr:nvGraphicFramePr>
        <xdr:xfrm>
          <a:off x="3460750" y="1993900"/>
          <a:ext cx="36385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zoomScale="120" zoomScaleNormal="120" workbookViewId="0">
      <selection activeCell="B2" sqref="B2:J6"/>
    </sheetView>
  </sheetViews>
  <sheetFormatPr defaultColWidth="8.77734375" defaultRowHeight="15.6" x14ac:dyDescent="0.25"/>
  <cols>
    <col min="1" max="1" width="8.77734375" style="1"/>
    <col min="2" max="2" width="9.6640625" style="1" customWidth="1"/>
    <col min="3" max="10" width="9.5546875" style="1" bestFit="1" customWidth="1"/>
    <col min="11" max="11" width="8.77734375" style="1"/>
    <col min="12" max="12" width="11.88671875" style="8" customWidth="1"/>
    <col min="13" max="13" width="11.44140625" style="8" customWidth="1"/>
    <col min="14" max="20" width="8.77734375" style="8"/>
    <col min="21" max="16384" width="8.77734375" style="1"/>
  </cols>
  <sheetData>
    <row r="1" spans="1:20" s="3" customFormat="1" collapsed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L1" s="7"/>
      <c r="M1" s="7"/>
      <c r="N1" s="7"/>
      <c r="O1" s="7"/>
      <c r="P1" s="7"/>
      <c r="Q1" s="7"/>
      <c r="R1" s="7"/>
      <c r="S1" s="7"/>
      <c r="T1" s="7"/>
    </row>
    <row r="2" spans="1:20" ht="16.2" x14ac:dyDescent="0.25">
      <c r="B2" s="23"/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20" x14ac:dyDescent="0.25">
      <c r="B3" s="10" t="s">
        <v>8</v>
      </c>
      <c r="C3" s="4">
        <v>118181.316296</v>
      </c>
      <c r="D3" s="4">
        <v>99099.230947999997</v>
      </c>
      <c r="E3" s="4">
        <v>129451.363004</v>
      </c>
      <c r="F3" s="4">
        <v>121983.991515</v>
      </c>
      <c r="G3" s="4">
        <v>111410.697839</v>
      </c>
      <c r="H3" s="4">
        <v>115344.074077</v>
      </c>
      <c r="I3" s="4">
        <v>101106.093308</v>
      </c>
      <c r="J3" s="4">
        <v>118260.54954399999</v>
      </c>
    </row>
    <row r="4" spans="1:20" x14ac:dyDescent="0.25">
      <c r="B4" s="11" t="s">
        <v>9</v>
      </c>
      <c r="C4" s="5">
        <v>24044.598374000001</v>
      </c>
      <c r="D4" s="5">
        <v>31809.378601</v>
      </c>
      <c r="E4" s="5">
        <v>35616.879901</v>
      </c>
      <c r="F4" s="5">
        <v>33394.782001</v>
      </c>
      <c r="G4" s="5">
        <v>39940.593720999997</v>
      </c>
      <c r="H4" s="5">
        <v>49123.01986</v>
      </c>
      <c r="I4" s="5">
        <v>34031.109063999997</v>
      </c>
      <c r="J4" s="5">
        <v>49902.953357999999</v>
      </c>
    </row>
    <row r="5" spans="1:20" x14ac:dyDescent="0.25">
      <c r="B5" s="11" t="s">
        <v>10</v>
      </c>
      <c r="C5" s="5">
        <v>138905.89180000001</v>
      </c>
      <c r="D5" s="5">
        <v>126517.0953</v>
      </c>
      <c r="E5" s="5">
        <v>164690.87789999999</v>
      </c>
      <c r="F5" s="5">
        <v>149908.03</v>
      </c>
      <c r="G5" s="5">
        <v>153315.8334</v>
      </c>
      <c r="H5" s="5">
        <v>160130.33660000001</v>
      </c>
      <c r="I5" s="5">
        <v>139722.99110000001</v>
      </c>
      <c r="J5" s="5">
        <v>184621.64</v>
      </c>
    </row>
    <row r="6" spans="1:20" x14ac:dyDescent="0.25">
      <c r="B6" s="10" t="s">
        <v>11</v>
      </c>
      <c r="C6" s="4">
        <v>51046.763751998602</v>
      </c>
      <c r="D6" s="4">
        <v>72721.2144649978</v>
      </c>
      <c r="E6" s="4">
        <v>76626.572034997997</v>
      </c>
      <c r="F6" s="4">
        <v>71047.033624995704</v>
      </c>
      <c r="G6" s="4">
        <v>85999.501089995101</v>
      </c>
      <c r="H6" s="4">
        <v>105711.198024995</v>
      </c>
      <c r="I6" s="4">
        <v>78740.848078999799</v>
      </c>
      <c r="J6" s="6">
        <v>141029.930174999</v>
      </c>
    </row>
    <row r="7" spans="1:20" x14ac:dyDescent="0.25">
      <c r="C7" s="2"/>
    </row>
    <row r="8" spans="1:20" s="22" customFormat="1" x14ac:dyDescent="0.25">
      <c r="B8" s="26"/>
      <c r="C8" s="26"/>
      <c r="D8" s="26"/>
    </row>
    <row r="9" spans="1:20" s="22" customFormat="1" x14ac:dyDescent="0.25">
      <c r="B9" s="27" t="s">
        <v>28</v>
      </c>
      <c r="C9" s="28" t="s">
        <v>10</v>
      </c>
      <c r="D9" s="28" t="s">
        <v>29</v>
      </c>
      <c r="E9" s="28"/>
      <c r="F9" s="28"/>
      <c r="G9" s="28"/>
      <c r="H9" s="28"/>
      <c r="I9" s="28"/>
      <c r="J9" s="28"/>
    </row>
    <row r="10" spans="1:20" s="22" customFormat="1" x14ac:dyDescent="0.25">
      <c r="B10" s="26" t="s">
        <v>26</v>
      </c>
      <c r="C10" s="24" t="str">
        <f>C2</f>
        <v>1月</v>
      </c>
      <c r="D10" s="24" t="str">
        <f t="shared" ref="D10:J10" si="0">D2</f>
        <v>2月</v>
      </c>
      <c r="E10" s="24" t="str">
        <f t="shared" si="0"/>
        <v>3月</v>
      </c>
      <c r="F10" s="24" t="str">
        <f t="shared" si="0"/>
        <v>4月</v>
      </c>
      <c r="G10" s="24" t="str">
        <f t="shared" si="0"/>
        <v>5月</v>
      </c>
      <c r="H10" s="24" t="str">
        <f t="shared" si="0"/>
        <v>6月</v>
      </c>
      <c r="I10" s="24" t="str">
        <f t="shared" si="0"/>
        <v>7月</v>
      </c>
      <c r="J10" s="24" t="str">
        <f t="shared" si="0"/>
        <v>8月</v>
      </c>
    </row>
    <row r="11" spans="1:20" x14ac:dyDescent="0.25">
      <c r="B11" s="3" t="s">
        <v>27</v>
      </c>
      <c r="C11" s="2">
        <f>SUMIFS(C3:C6,$B$3:$B$6,$C$9)</f>
        <v>138905.89180000001</v>
      </c>
      <c r="D11" s="2">
        <f t="shared" ref="D11:J11" si="1">SUMIFS(D3:D6,$B$3:$B$6,$C$9)</f>
        <v>126517.0953</v>
      </c>
      <c r="E11" s="2">
        <f t="shared" si="1"/>
        <v>164690.87789999999</v>
      </c>
      <c r="F11" s="2">
        <f t="shared" si="1"/>
        <v>149908.03</v>
      </c>
      <c r="G11" s="2">
        <f t="shared" si="1"/>
        <v>153315.8334</v>
      </c>
      <c r="H11" s="2">
        <f t="shared" si="1"/>
        <v>160130.33660000001</v>
      </c>
      <c r="I11" s="2">
        <f t="shared" si="1"/>
        <v>139722.99110000001</v>
      </c>
      <c r="J11" s="2">
        <f t="shared" si="1"/>
        <v>184621.64</v>
      </c>
      <c r="M11" s="25"/>
      <c r="N11" s="25"/>
      <c r="O11" s="25"/>
      <c r="P11" s="25"/>
      <c r="Q11" s="25"/>
      <c r="R11" s="25"/>
      <c r="S11" s="25"/>
      <c r="T11" s="25"/>
    </row>
    <row r="12" spans="1:20" x14ac:dyDescent="0.25">
      <c r="C12" s="2"/>
      <c r="D12" s="2"/>
      <c r="E12" s="2"/>
      <c r="F12" s="2"/>
      <c r="G12" s="2"/>
      <c r="H12" s="2"/>
      <c r="I12" s="2"/>
      <c r="J12" s="2"/>
      <c r="M12" s="12"/>
      <c r="N12" s="12"/>
      <c r="O12" s="12"/>
      <c r="P12" s="12"/>
      <c r="Q12" s="12"/>
      <c r="R12" s="12"/>
      <c r="S12" s="12"/>
      <c r="T12" s="12"/>
    </row>
    <row r="13" spans="1:20" x14ac:dyDescent="0.25">
      <c r="C13" s="2"/>
      <c r="D13" s="2"/>
      <c r="H13" s="2"/>
      <c r="I13" s="2"/>
    </row>
  </sheetData>
  <phoneticPr fontId="17" type="noConversion"/>
  <dataValidations count="1">
    <dataValidation type="list" allowBlank="1" showInputMessage="1" showErrorMessage="1" sqref="C9" xr:uid="{82634E4E-189A-4759-A456-E91CAF8DA6E3}">
      <formula1>$B$3:$B$6</formula1>
    </dataValidation>
  </dataValidations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6"/>
  <sheetViews>
    <sheetView zoomScale="120" zoomScaleNormal="120" workbookViewId="0">
      <pane xSplit="2" ySplit="1" topLeftCell="C11" activePane="bottomRight" state="frozen"/>
      <selection pane="topRight"/>
      <selection pane="bottomLeft"/>
      <selection pane="bottomRight" activeCell="I17" sqref="I17"/>
    </sheetView>
  </sheetViews>
  <sheetFormatPr defaultColWidth="8.88671875" defaultRowHeight="15.6" outlineLevelRow="1" x14ac:dyDescent="0.25"/>
  <cols>
    <col min="1" max="1" width="8.88671875" style="1"/>
    <col min="2" max="2" width="6" style="1" customWidth="1"/>
    <col min="3" max="8" width="9.21875" style="1" customWidth="1"/>
    <col min="9" max="9" width="8.88671875" style="1"/>
    <col min="10" max="10" width="9.6640625" style="1" customWidth="1"/>
    <col min="11" max="16384" width="8.88671875" style="1"/>
  </cols>
  <sheetData>
    <row r="1" spans="2:10" ht="32.4" customHeight="1" x14ac:dyDescent="0.25">
      <c r="C1" s="37" t="s">
        <v>12</v>
      </c>
      <c r="D1" s="37"/>
      <c r="E1" s="37"/>
      <c r="F1" s="37"/>
      <c r="G1" s="37"/>
      <c r="H1" s="37"/>
    </row>
    <row r="2" spans="2:10" ht="138.75" customHeight="1" x14ac:dyDescent="0.25">
      <c r="C2" s="38" t="s">
        <v>13</v>
      </c>
      <c r="D2" s="39"/>
      <c r="E2" s="39"/>
      <c r="F2" s="39"/>
      <c r="G2" s="39"/>
      <c r="H2" s="39"/>
    </row>
    <row r="3" spans="2:10" x14ac:dyDescent="0.25">
      <c r="C3" s="13">
        <v>1</v>
      </c>
      <c r="D3" s="13">
        <v>2</v>
      </c>
      <c r="E3" s="13">
        <v>3</v>
      </c>
      <c r="F3" s="13">
        <v>4</v>
      </c>
      <c r="G3" s="13">
        <v>5</v>
      </c>
      <c r="H3" s="13">
        <v>6</v>
      </c>
    </row>
    <row r="4" spans="2:10" x14ac:dyDescent="0.25">
      <c r="C4" s="13">
        <v>7</v>
      </c>
      <c r="D4" s="13">
        <v>8</v>
      </c>
      <c r="E4" s="14">
        <v>9</v>
      </c>
      <c r="F4" s="13">
        <v>10</v>
      </c>
      <c r="G4" s="13">
        <v>11</v>
      </c>
      <c r="H4" s="13">
        <v>12</v>
      </c>
    </row>
    <row r="5" spans="2:10" x14ac:dyDescent="0.25">
      <c r="C5" s="13">
        <v>13</v>
      </c>
      <c r="D5" s="13">
        <v>14</v>
      </c>
      <c r="E5" s="13">
        <v>15</v>
      </c>
      <c r="F5" s="13">
        <v>16</v>
      </c>
      <c r="G5" s="13">
        <v>17</v>
      </c>
      <c r="H5" s="13">
        <v>18</v>
      </c>
    </row>
    <row r="6" spans="2:10" x14ac:dyDescent="0.25">
      <c r="C6" s="13">
        <v>19</v>
      </c>
      <c r="D6" s="13">
        <v>20</v>
      </c>
      <c r="E6" s="13">
        <v>21</v>
      </c>
      <c r="F6" s="13">
        <v>22</v>
      </c>
      <c r="G6" s="13">
        <v>23</v>
      </c>
      <c r="H6" s="13">
        <v>24</v>
      </c>
    </row>
    <row r="8" spans="2:10" ht="16.2" x14ac:dyDescent="0.25">
      <c r="B8" s="15" t="s">
        <v>14</v>
      </c>
    </row>
    <row r="9" spans="2:10" ht="21.75" customHeight="1" x14ac:dyDescent="0.25">
      <c r="C9" s="40" t="s">
        <v>15</v>
      </c>
      <c r="D9" s="40"/>
      <c r="E9" s="40"/>
      <c r="F9" s="40"/>
      <c r="G9" s="40"/>
      <c r="H9" s="40"/>
    </row>
    <row r="10" spans="2:10" ht="15.6" customHeight="1" x14ac:dyDescent="0.25">
      <c r="C10" s="13">
        <v>1</v>
      </c>
      <c r="D10" s="13">
        <v>2</v>
      </c>
      <c r="E10" s="13">
        <v>3</v>
      </c>
      <c r="F10" s="13">
        <v>4</v>
      </c>
      <c r="G10" s="13">
        <v>5</v>
      </c>
      <c r="H10" s="13">
        <v>6</v>
      </c>
    </row>
    <row r="11" spans="2:10" x14ac:dyDescent="0.25">
      <c r="C11" s="13">
        <v>7</v>
      </c>
      <c r="D11" s="13">
        <v>8</v>
      </c>
      <c r="E11" s="13">
        <v>9</v>
      </c>
      <c r="F11" s="14">
        <v>10</v>
      </c>
      <c r="G11" s="13">
        <v>11</v>
      </c>
      <c r="H11" s="13">
        <v>12</v>
      </c>
    </row>
    <row r="12" spans="2:10" x14ac:dyDescent="0.25">
      <c r="C12" s="13">
        <v>13</v>
      </c>
      <c r="D12" s="13">
        <v>14</v>
      </c>
      <c r="E12" s="13">
        <v>15</v>
      </c>
      <c r="F12" s="13">
        <v>16</v>
      </c>
      <c r="G12" s="13">
        <v>17</v>
      </c>
      <c r="H12" s="13">
        <v>18</v>
      </c>
    </row>
    <row r="13" spans="2:10" x14ac:dyDescent="0.25">
      <c r="C13" s="13">
        <v>19</v>
      </c>
      <c r="D13" s="13">
        <v>20</v>
      </c>
      <c r="E13" s="13">
        <v>21</v>
      </c>
      <c r="F13" s="13">
        <v>22</v>
      </c>
      <c r="G13" s="13">
        <v>23</v>
      </c>
      <c r="H13" s="13">
        <v>24</v>
      </c>
    </row>
    <row r="15" spans="2:10" ht="20.399999999999999" x14ac:dyDescent="0.25">
      <c r="C15" s="40" t="s">
        <v>16</v>
      </c>
      <c r="D15" s="40"/>
      <c r="E15" s="40"/>
      <c r="F15" s="40"/>
      <c r="G15" s="40"/>
      <c r="H15" s="40"/>
    </row>
    <row r="16" spans="2:10" x14ac:dyDescent="0.25">
      <c r="C16" s="13">
        <v>1</v>
      </c>
      <c r="D16" s="13">
        <v>2</v>
      </c>
      <c r="E16" s="13">
        <v>3</v>
      </c>
      <c r="F16" s="13">
        <v>4</v>
      </c>
      <c r="G16" s="13">
        <v>5</v>
      </c>
      <c r="H16" s="13">
        <v>6</v>
      </c>
      <c r="J16" s="20"/>
    </row>
    <row r="17" spans="2:13" x14ac:dyDescent="0.25">
      <c r="C17" s="13">
        <v>7</v>
      </c>
      <c r="D17" s="13">
        <v>8</v>
      </c>
      <c r="E17" s="13">
        <v>9</v>
      </c>
      <c r="F17" s="13">
        <v>10</v>
      </c>
      <c r="G17" s="13">
        <v>11</v>
      </c>
      <c r="H17" s="13">
        <v>12</v>
      </c>
    </row>
    <row r="18" spans="2:13" x14ac:dyDescent="0.25">
      <c r="C18" s="13">
        <v>13</v>
      </c>
      <c r="D18" s="13">
        <v>14</v>
      </c>
      <c r="E18" s="13">
        <v>15</v>
      </c>
      <c r="F18" s="14">
        <v>16</v>
      </c>
      <c r="G18" s="13">
        <v>17</v>
      </c>
      <c r="H18" s="13">
        <v>18</v>
      </c>
      <c r="M18" s="21"/>
    </row>
    <row r="19" spans="2:13" x14ac:dyDescent="0.25">
      <c r="C19" s="13">
        <v>19</v>
      </c>
      <c r="D19" s="13">
        <v>20</v>
      </c>
      <c r="E19" s="13">
        <v>21</v>
      </c>
      <c r="F19" s="14">
        <v>22</v>
      </c>
      <c r="G19" s="13">
        <v>23</v>
      </c>
      <c r="H19" s="13">
        <v>24</v>
      </c>
    </row>
    <row r="21" spans="2:13" ht="20.399999999999999" x14ac:dyDescent="0.25">
      <c r="C21" s="41" t="s">
        <v>17</v>
      </c>
      <c r="D21" s="41"/>
      <c r="E21" s="41"/>
      <c r="F21" s="41"/>
      <c r="G21" s="41"/>
      <c r="H21" s="41"/>
    </row>
    <row r="22" spans="2:13" x14ac:dyDescent="0.25">
      <c r="C22" s="13">
        <v>1</v>
      </c>
      <c r="D22" s="13">
        <v>2</v>
      </c>
      <c r="E22" s="14">
        <v>3</v>
      </c>
      <c r="F22" s="14">
        <v>4</v>
      </c>
      <c r="G22" s="14">
        <v>5</v>
      </c>
      <c r="H22" s="14">
        <v>6</v>
      </c>
    </row>
    <row r="23" spans="2:13" x14ac:dyDescent="0.25">
      <c r="C23" s="13">
        <v>7</v>
      </c>
      <c r="D23" s="13">
        <v>8</v>
      </c>
      <c r="E23" s="14">
        <v>9</v>
      </c>
      <c r="F23" s="14">
        <v>10</v>
      </c>
      <c r="G23" s="14">
        <v>11</v>
      </c>
      <c r="H23" s="14">
        <v>12</v>
      </c>
    </row>
    <row r="24" spans="2:13" x14ac:dyDescent="0.25">
      <c r="C24" s="13">
        <v>13</v>
      </c>
      <c r="D24" s="13">
        <v>14</v>
      </c>
      <c r="E24" s="14">
        <v>15</v>
      </c>
      <c r="F24" s="14">
        <v>16</v>
      </c>
      <c r="G24" s="14">
        <v>17</v>
      </c>
      <c r="H24" s="14">
        <v>18</v>
      </c>
    </row>
    <row r="25" spans="2:13" x14ac:dyDescent="0.25">
      <c r="C25" s="13">
        <v>19</v>
      </c>
      <c r="D25" s="13">
        <v>20</v>
      </c>
      <c r="E25" s="13">
        <v>21</v>
      </c>
      <c r="F25" s="13">
        <v>22</v>
      </c>
      <c r="G25" s="13">
        <v>23</v>
      </c>
      <c r="H25" s="13">
        <v>24</v>
      </c>
    </row>
    <row r="27" spans="2:13" ht="16.2" x14ac:dyDescent="0.25">
      <c r="B27" s="15" t="s">
        <v>18</v>
      </c>
    </row>
    <row r="28" spans="2:13" x14ac:dyDescent="0.25">
      <c r="C28" s="36" t="s">
        <v>19</v>
      </c>
      <c r="D28" s="36"/>
      <c r="E28" s="36"/>
      <c r="F28" s="36"/>
      <c r="G28" s="36"/>
      <c r="H28" s="36"/>
    </row>
    <row r="29" spans="2:13" x14ac:dyDescent="0.25">
      <c r="C29" s="36"/>
      <c r="D29" s="36"/>
      <c r="E29" s="36"/>
      <c r="F29" s="36"/>
      <c r="G29" s="36"/>
      <c r="H29" s="36"/>
    </row>
    <row r="30" spans="2:13" x14ac:dyDescent="0.25">
      <c r="C30" s="36"/>
      <c r="D30" s="36"/>
      <c r="E30" s="36"/>
      <c r="F30" s="36"/>
      <c r="G30" s="36"/>
      <c r="H30" s="36"/>
    </row>
    <row r="31" spans="2:13" x14ac:dyDescent="0.25">
      <c r="C31" s="36"/>
      <c r="D31" s="36"/>
      <c r="E31" s="36"/>
      <c r="F31" s="36"/>
      <c r="G31" s="36"/>
      <c r="H31" s="36"/>
    </row>
    <row r="32" spans="2:13" x14ac:dyDescent="0.25">
      <c r="C32" s="36"/>
      <c r="D32" s="36"/>
      <c r="E32" s="36"/>
      <c r="F32" s="36"/>
      <c r="G32" s="36"/>
      <c r="H32" s="36"/>
    </row>
    <row r="34" spans="3:8" x14ac:dyDescent="0.25">
      <c r="C34" s="1" t="s">
        <v>20</v>
      </c>
      <c r="D34" s="16">
        <v>2</v>
      </c>
      <c r="E34" s="1" t="s">
        <v>21</v>
      </c>
      <c r="F34" s="16">
        <v>3</v>
      </c>
    </row>
    <row r="35" spans="3:8" ht="20.399999999999999" x14ac:dyDescent="0.25">
      <c r="C35" s="1" t="s">
        <v>22</v>
      </c>
      <c r="D35" s="17" t="s">
        <v>23</v>
      </c>
      <c r="E35" s="18"/>
      <c r="F35" s="18"/>
      <c r="G35" s="18" t="s">
        <v>24</v>
      </c>
      <c r="H35" s="19">
        <f ca="1">OFFSET(C36,D34,F34,1,1)</f>
        <v>16</v>
      </c>
    </row>
    <row r="36" spans="3:8" x14ac:dyDescent="0.25">
      <c r="C36" s="13">
        <v>1</v>
      </c>
      <c r="D36" s="13">
        <v>2</v>
      </c>
      <c r="E36" s="13">
        <v>3</v>
      </c>
      <c r="F36" s="13">
        <v>4</v>
      </c>
      <c r="G36" s="13">
        <v>5</v>
      </c>
      <c r="H36" s="13">
        <v>6</v>
      </c>
    </row>
    <row r="37" spans="3:8" x14ac:dyDescent="0.25">
      <c r="C37" s="13">
        <v>7</v>
      </c>
      <c r="D37" s="13">
        <v>8</v>
      </c>
      <c r="E37" s="13">
        <v>9</v>
      </c>
      <c r="F37" s="13">
        <v>10</v>
      </c>
      <c r="G37" s="13">
        <v>11</v>
      </c>
      <c r="H37" s="13">
        <v>12</v>
      </c>
    </row>
    <row r="38" spans="3:8" x14ac:dyDescent="0.25">
      <c r="C38" s="13">
        <v>13</v>
      </c>
      <c r="D38" s="13">
        <v>14</v>
      </c>
      <c r="E38" s="13">
        <v>15</v>
      </c>
      <c r="F38" s="13">
        <v>16</v>
      </c>
      <c r="G38" s="13">
        <v>17</v>
      </c>
      <c r="H38" s="13">
        <v>18</v>
      </c>
    </row>
    <row r="39" spans="3:8" x14ac:dyDescent="0.25">
      <c r="C39" s="13">
        <v>19</v>
      </c>
      <c r="D39" s="13">
        <v>20</v>
      </c>
      <c r="E39" s="13">
        <v>21</v>
      </c>
      <c r="F39" s="13">
        <v>22</v>
      </c>
      <c r="G39" s="13">
        <v>23</v>
      </c>
      <c r="H39" s="13">
        <v>24</v>
      </c>
    </row>
    <row r="41" spans="3:8" hidden="1" outlineLevel="1" x14ac:dyDescent="0.25">
      <c r="C41" s="36" t="s">
        <v>25</v>
      </c>
      <c r="D41" s="36"/>
      <c r="E41" s="36"/>
      <c r="F41" s="36"/>
      <c r="G41" s="36"/>
      <c r="H41" s="36"/>
    </row>
    <row r="42" spans="3:8" hidden="1" outlineLevel="1" x14ac:dyDescent="0.25">
      <c r="C42" s="36"/>
      <c r="D42" s="36"/>
      <c r="E42" s="36"/>
      <c r="F42" s="36"/>
      <c r="G42" s="36"/>
      <c r="H42" s="36"/>
    </row>
    <row r="43" spans="3:8" hidden="1" outlineLevel="1" x14ac:dyDescent="0.25">
      <c r="C43" s="36"/>
      <c r="D43" s="36"/>
      <c r="E43" s="36"/>
      <c r="F43" s="36"/>
      <c r="G43" s="36"/>
      <c r="H43" s="36"/>
    </row>
    <row r="44" spans="3:8" hidden="1" outlineLevel="1" x14ac:dyDescent="0.25">
      <c r="C44" s="36"/>
      <c r="D44" s="36"/>
      <c r="E44" s="36"/>
      <c r="F44" s="36"/>
      <c r="G44" s="36"/>
      <c r="H44" s="36"/>
    </row>
    <row r="45" spans="3:8" hidden="1" outlineLevel="1" x14ac:dyDescent="0.25">
      <c r="C45" s="36"/>
      <c r="D45" s="36"/>
      <c r="E45" s="36"/>
      <c r="F45" s="36"/>
      <c r="G45" s="36"/>
      <c r="H45" s="36"/>
    </row>
    <row r="46" spans="3:8" collapsed="1" x14ac:dyDescent="0.25"/>
  </sheetData>
  <mergeCells count="7">
    <mergeCell ref="C41:H45"/>
    <mergeCell ref="C28:H32"/>
    <mergeCell ref="C1:H1"/>
    <mergeCell ref="C2:H2"/>
    <mergeCell ref="C9:H9"/>
    <mergeCell ref="C15:H15"/>
    <mergeCell ref="C21:H21"/>
  </mergeCells>
  <phoneticPr fontId="17" type="noConversion"/>
  <conditionalFormatting sqref="H35:H39 C36:G39">
    <cfRule type="duplicateValues" dxfId="0" priority="1"/>
  </conditionalFormatting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F66A-7847-4EAF-A7FA-36F8B14BAACB}">
  <dimension ref="B2:J7"/>
  <sheetViews>
    <sheetView tabSelected="1" workbookViewId="0">
      <selection activeCell="F22" sqref="F22"/>
    </sheetView>
  </sheetViews>
  <sheetFormatPr defaultRowHeight="14.4" x14ac:dyDescent="0.25"/>
  <sheetData>
    <row r="2" spans="2:10" ht="16.8" thickBot="1" x14ac:dyDescent="0.3">
      <c r="B2" s="23"/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2:10" ht="16.8" thickTop="1" thickBot="1" x14ac:dyDescent="0.3">
      <c r="B3" s="10" t="s">
        <v>8</v>
      </c>
      <c r="C3" s="4">
        <v>118181.316296</v>
      </c>
      <c r="D3" s="4">
        <v>99099.230947999997</v>
      </c>
      <c r="E3" s="4">
        <v>129451.363004</v>
      </c>
      <c r="F3" s="4">
        <v>121983.991515</v>
      </c>
      <c r="G3" s="4">
        <v>111410.697839</v>
      </c>
      <c r="H3" s="4">
        <v>115344.074077</v>
      </c>
      <c r="I3" s="4">
        <v>101106.093308</v>
      </c>
      <c r="J3" s="4">
        <v>118260.54954399999</v>
      </c>
    </row>
    <row r="4" spans="2:10" ht="16.8" thickTop="1" thickBot="1" x14ac:dyDescent="0.3">
      <c r="B4" s="11" t="s">
        <v>9</v>
      </c>
      <c r="C4" s="5">
        <v>24044.598374000001</v>
      </c>
      <c r="D4" s="5">
        <v>31809.378601</v>
      </c>
      <c r="E4" s="5">
        <v>35616.879901</v>
      </c>
      <c r="F4" s="5">
        <v>33394.782001</v>
      </c>
      <c r="G4" s="5">
        <v>39940.593720999997</v>
      </c>
      <c r="H4" s="5">
        <v>49123.01986</v>
      </c>
      <c r="I4" s="5">
        <v>34031.109063999997</v>
      </c>
      <c r="J4" s="5">
        <v>49902.953357999999</v>
      </c>
    </row>
    <row r="5" spans="2:10" ht="16.8" thickTop="1" thickBot="1" x14ac:dyDescent="0.3">
      <c r="B5" s="11" t="s">
        <v>10</v>
      </c>
      <c r="C5" s="5">
        <v>138905.89180000001</v>
      </c>
      <c r="D5" s="5">
        <v>126517.0953</v>
      </c>
      <c r="E5" s="5">
        <v>164690.87789999999</v>
      </c>
      <c r="F5" s="5">
        <v>149908.03</v>
      </c>
      <c r="G5" s="5">
        <v>153315.8334</v>
      </c>
      <c r="H5" s="5">
        <v>160130.33660000001</v>
      </c>
      <c r="I5" s="5">
        <v>139722.99110000001</v>
      </c>
      <c r="J5" s="5">
        <v>184621.64</v>
      </c>
    </row>
    <row r="6" spans="2:10" ht="16.8" thickTop="1" thickBot="1" x14ac:dyDescent="0.3">
      <c r="B6" s="10" t="s">
        <v>11</v>
      </c>
      <c r="C6" s="4">
        <v>51046.763751998602</v>
      </c>
      <c r="D6" s="4">
        <v>72721.2144649978</v>
      </c>
      <c r="E6" s="4">
        <v>76626.572034997997</v>
      </c>
      <c r="F6" s="4">
        <v>71047.033624995704</v>
      </c>
      <c r="G6" s="4">
        <v>85999.501089995101</v>
      </c>
      <c r="H6" s="4">
        <v>105711.198024995</v>
      </c>
      <c r="I6" s="4">
        <v>78740.848078999799</v>
      </c>
      <c r="J6" s="6">
        <v>141029.930174999</v>
      </c>
    </row>
    <row r="7" spans="2:10" ht="15" thickTop="1" x14ac:dyDescent="0.25"/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73EC-80ED-47B1-AF24-941B68AC2DB3}">
  <dimension ref="A1:N8"/>
  <sheetViews>
    <sheetView zoomScale="120" zoomScaleNormal="120" workbookViewId="0">
      <selection activeCell="C3" sqref="A1:I5"/>
    </sheetView>
  </sheetViews>
  <sheetFormatPr defaultRowHeight="15.6" x14ac:dyDescent="0.25"/>
  <cols>
    <col min="1" max="9" width="9.5546875" style="1" bestFit="1" customWidth="1"/>
    <col min="10" max="16384" width="8.88671875" style="1"/>
  </cols>
  <sheetData>
    <row r="1" spans="1:14" ht="16.8" thickBot="1" x14ac:dyDescent="0.3">
      <c r="A1" s="23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K1" s="1" t="s">
        <v>30</v>
      </c>
      <c r="N1" s="1" t="s">
        <v>35</v>
      </c>
    </row>
    <row r="2" spans="1:14" ht="16.8" thickTop="1" thickBot="1" x14ac:dyDescent="0.3">
      <c r="A2" s="10" t="s">
        <v>8</v>
      </c>
      <c r="B2" s="4">
        <v>118181.316296</v>
      </c>
      <c r="C2" s="4">
        <v>99099.230947999997</v>
      </c>
      <c r="D2" s="4">
        <v>129451.363004</v>
      </c>
      <c r="E2" s="4">
        <v>121983.991515</v>
      </c>
      <c r="F2" s="4">
        <v>111410.697839</v>
      </c>
      <c r="G2" s="4">
        <v>115344.074077</v>
      </c>
      <c r="H2" s="4">
        <v>101106.093308</v>
      </c>
      <c r="I2" s="4">
        <v>118260.54954399999</v>
      </c>
      <c r="K2" s="1" t="s">
        <v>31</v>
      </c>
      <c r="N2" s="1">
        <f>MATCH(B8,A2:A5,0)</f>
        <v>1</v>
      </c>
    </row>
    <row r="3" spans="1:14" ht="16.8" thickTop="1" thickBot="1" x14ac:dyDescent="0.3">
      <c r="A3" s="11" t="s">
        <v>9</v>
      </c>
      <c r="B3" s="5">
        <v>24044.598374000001</v>
      </c>
      <c r="C3" s="5">
        <v>31809.378601</v>
      </c>
      <c r="D3" s="5">
        <v>35616.879901</v>
      </c>
      <c r="E3" s="5">
        <v>33394.782001</v>
      </c>
      <c r="F3" s="5">
        <v>39940.593720999997</v>
      </c>
      <c r="G3" s="5">
        <v>49123.01986</v>
      </c>
      <c r="H3" s="5">
        <v>34031.109063999997</v>
      </c>
      <c r="I3" s="5">
        <v>49902.953357999999</v>
      </c>
      <c r="K3" s="1" t="s">
        <v>36</v>
      </c>
    </row>
    <row r="4" spans="1:14" ht="16.8" thickTop="1" thickBot="1" x14ac:dyDescent="0.3">
      <c r="A4" s="11" t="s">
        <v>10</v>
      </c>
      <c r="B4" s="5">
        <v>138905.89180000001</v>
      </c>
      <c r="C4" s="5">
        <v>126517.0953</v>
      </c>
      <c r="D4" s="5">
        <v>164690.87789999999</v>
      </c>
      <c r="E4" s="5">
        <v>149908.03</v>
      </c>
      <c r="F4" s="5">
        <v>153315.8334</v>
      </c>
      <c r="G4" s="5">
        <v>160130.33660000001</v>
      </c>
      <c r="H4" s="5">
        <v>139722.99110000001</v>
      </c>
      <c r="I4" s="5">
        <v>184621.64</v>
      </c>
      <c r="K4" s="1" t="s">
        <v>32</v>
      </c>
    </row>
    <row r="5" spans="1:14" ht="16.8" thickTop="1" thickBot="1" x14ac:dyDescent="0.3">
      <c r="A5" s="10" t="s">
        <v>11</v>
      </c>
      <c r="B5" s="4">
        <v>51046.763751998602</v>
      </c>
      <c r="C5" s="4">
        <v>72721.2144649978</v>
      </c>
      <c r="D5" s="4">
        <v>76626.572034997997</v>
      </c>
      <c r="E5" s="4">
        <v>71047.033624995704</v>
      </c>
      <c r="F5" s="4">
        <v>85999.501089995101</v>
      </c>
      <c r="G5" s="4">
        <v>105711.198024995</v>
      </c>
      <c r="H5" s="4">
        <v>78740.848078999799</v>
      </c>
      <c r="I5" s="6">
        <v>141029.930174999</v>
      </c>
    </row>
    <row r="6" spans="1:14" ht="16.2" thickTop="1" x14ac:dyDescent="0.25"/>
    <row r="8" spans="1:14" x14ac:dyDescent="0.25">
      <c r="A8" s="27" t="s">
        <v>33</v>
      </c>
      <c r="B8" s="27" t="s">
        <v>8</v>
      </c>
      <c r="C8" s="27" t="s">
        <v>34</v>
      </c>
      <c r="D8" s="30"/>
      <c r="E8" s="30"/>
      <c r="F8" s="30"/>
      <c r="G8" s="30"/>
    </row>
  </sheetData>
  <phoneticPr fontId="17" type="noConversion"/>
  <dataValidations count="1">
    <dataValidation type="list" allowBlank="1" showInputMessage="1" showErrorMessage="1" sqref="B8" xr:uid="{C248FC00-FA8D-40CA-8578-30F93F85DB8F}">
      <formula1>$A$2:$A$5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C1C5-72CD-4A18-AA6F-8538C36247B7}">
  <dimension ref="B2:L10"/>
  <sheetViews>
    <sheetView zoomScale="120" zoomScaleNormal="120" workbookViewId="0">
      <selection activeCell="E8" sqref="E8"/>
    </sheetView>
  </sheetViews>
  <sheetFormatPr defaultRowHeight="14.4" x14ac:dyDescent="0.25"/>
  <sheetData>
    <row r="2" spans="2:12" ht="16.8" thickBot="1" x14ac:dyDescent="0.3">
      <c r="B2" s="23"/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L2" s="31" t="s">
        <v>30</v>
      </c>
    </row>
    <row r="3" spans="2:12" ht="16.8" thickTop="1" thickBot="1" x14ac:dyDescent="0.3">
      <c r="B3" s="10" t="s">
        <v>8</v>
      </c>
      <c r="C3" s="4">
        <v>118181.316296</v>
      </c>
      <c r="D3" s="4">
        <v>99099.230947999997</v>
      </c>
      <c r="E3" s="4">
        <v>129451.363004</v>
      </c>
      <c r="F3" s="4">
        <v>121983.991515</v>
      </c>
      <c r="G3" s="4">
        <v>111410.697839</v>
      </c>
      <c r="H3" s="4">
        <v>115344.074077</v>
      </c>
      <c r="I3" s="4">
        <v>101106.093308</v>
      </c>
      <c r="J3" s="4">
        <v>118260.54954399999</v>
      </c>
      <c r="L3" s="29" t="s">
        <v>37</v>
      </c>
    </row>
    <row r="4" spans="2:12" ht="16.8" thickTop="1" thickBot="1" x14ac:dyDescent="0.3">
      <c r="B4" s="11" t="s">
        <v>9</v>
      </c>
      <c r="C4" s="5">
        <v>24044.598374000001</v>
      </c>
      <c r="D4" s="5">
        <v>31809.378601</v>
      </c>
      <c r="E4" s="5">
        <v>35616.879901</v>
      </c>
      <c r="F4" s="5">
        <v>33394.782001</v>
      </c>
      <c r="G4" s="5">
        <v>39940.593720999997</v>
      </c>
      <c r="H4" s="5">
        <v>49123.01986</v>
      </c>
      <c r="I4" s="5">
        <v>34031.109063999997</v>
      </c>
      <c r="J4" s="5">
        <v>49902.953357999999</v>
      </c>
      <c r="L4" s="29" t="s">
        <v>38</v>
      </c>
    </row>
    <row r="5" spans="2:12" ht="16.8" thickTop="1" thickBot="1" x14ac:dyDescent="0.3">
      <c r="B5" s="11" t="s">
        <v>10</v>
      </c>
      <c r="C5" s="5">
        <v>138905.89180000001</v>
      </c>
      <c r="D5" s="5">
        <v>126517.0953</v>
      </c>
      <c r="E5" s="5">
        <v>164690.87789999999</v>
      </c>
      <c r="F5" s="5">
        <v>149908.03</v>
      </c>
      <c r="G5" s="5">
        <v>153315.8334</v>
      </c>
      <c r="H5" s="5">
        <v>160130.33660000001</v>
      </c>
      <c r="I5" s="5">
        <v>139722.99110000001</v>
      </c>
      <c r="J5" s="5">
        <v>184621.64</v>
      </c>
      <c r="L5" s="29" t="s">
        <v>39</v>
      </c>
    </row>
    <row r="6" spans="2:12" ht="16.8" thickTop="1" thickBot="1" x14ac:dyDescent="0.3">
      <c r="B6" s="10" t="s">
        <v>11</v>
      </c>
      <c r="C6" s="4">
        <v>51046.763751998602</v>
      </c>
      <c r="D6" s="4">
        <v>72721.2144649978</v>
      </c>
      <c r="E6" s="4">
        <v>76626.572034997997</v>
      </c>
      <c r="F6" s="4">
        <v>71047.033624995704</v>
      </c>
      <c r="G6" s="4">
        <v>85999.501089995101</v>
      </c>
      <c r="H6" s="4">
        <v>105711.198024995</v>
      </c>
      <c r="I6" s="4">
        <v>78740.848078999799</v>
      </c>
      <c r="J6" s="6">
        <v>141029.930174999</v>
      </c>
      <c r="L6" s="29" t="s">
        <v>40</v>
      </c>
    </row>
    <row r="7" spans="2:12" ht="15" thickTop="1" x14ac:dyDescent="0.25"/>
    <row r="8" spans="2:12" x14ac:dyDescent="0.25">
      <c r="C8" t="b">
        <v>1</v>
      </c>
      <c r="E8" t="b">
        <v>1</v>
      </c>
      <c r="G8" t="b">
        <v>0</v>
      </c>
      <c r="I8" t="b">
        <v>0</v>
      </c>
    </row>
    <row r="10" spans="2:12" x14ac:dyDescent="0.25">
      <c r="C10" s="32"/>
      <c r="D10" s="32"/>
      <c r="E10" s="32"/>
      <c r="F10" s="32"/>
      <c r="G10" s="32"/>
      <c r="H10" s="32"/>
      <c r="I10" s="32"/>
      <c r="J10" s="32"/>
    </row>
  </sheetData>
  <phoneticPr fontId="17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175260</xdr:rowOff>
                  </from>
                  <to>
                    <xdr:col>3</xdr:col>
                    <xdr:colOff>99060</xdr:colOff>
                    <xdr:row>10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3</xdr:col>
                    <xdr:colOff>571500</xdr:colOff>
                    <xdr:row>8</xdr:row>
                    <xdr:rowOff>152400</xdr:rowOff>
                  </from>
                  <to>
                    <xdr:col>5</xdr:col>
                    <xdr:colOff>38100</xdr:colOff>
                    <xdr:row>10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5</xdr:col>
                    <xdr:colOff>594360</xdr:colOff>
                    <xdr:row>8</xdr:row>
                    <xdr:rowOff>160020</xdr:rowOff>
                  </from>
                  <to>
                    <xdr:col>6</xdr:col>
                    <xdr:colOff>601980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8</xdr:col>
                    <xdr:colOff>99060</xdr:colOff>
                    <xdr:row>8</xdr:row>
                    <xdr:rowOff>137160</xdr:rowOff>
                  </from>
                  <to>
                    <xdr:col>9</xdr:col>
                    <xdr:colOff>137160</xdr:colOff>
                    <xdr:row>10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34A9-C31F-42A1-B327-64BA0BDCD729}">
  <dimension ref="B1:L7"/>
  <sheetViews>
    <sheetView zoomScale="120" zoomScaleNormal="120" workbookViewId="0">
      <selection activeCell="K9" sqref="K9"/>
    </sheetView>
  </sheetViews>
  <sheetFormatPr defaultRowHeight="14.4" x14ac:dyDescent="0.25"/>
  <sheetData>
    <row r="1" spans="2:12" x14ac:dyDescent="0.25">
      <c r="L1" s="29" t="s">
        <v>30</v>
      </c>
    </row>
    <row r="2" spans="2:12" ht="16.8" thickBot="1" x14ac:dyDescent="0.3">
      <c r="B2" s="23"/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L2">
        <v>2</v>
      </c>
    </row>
    <row r="3" spans="2:12" ht="16.8" thickTop="1" thickBot="1" x14ac:dyDescent="0.3">
      <c r="B3" s="10" t="s">
        <v>8</v>
      </c>
      <c r="C3" s="4">
        <v>118181.316296</v>
      </c>
      <c r="D3" s="4">
        <v>99099.230947999997</v>
      </c>
      <c r="E3" s="4">
        <v>129451.363004</v>
      </c>
      <c r="F3" s="4">
        <v>121983.991515</v>
      </c>
      <c r="G3" s="4">
        <v>111410.697839</v>
      </c>
      <c r="H3" s="4">
        <v>115344.074077</v>
      </c>
      <c r="I3" s="4">
        <v>101106.093308</v>
      </c>
      <c r="J3" s="4">
        <v>118260.54954399999</v>
      </c>
      <c r="L3" s="29" t="s">
        <v>41</v>
      </c>
    </row>
    <row r="4" spans="2:12" ht="16.8" thickTop="1" thickBot="1" x14ac:dyDescent="0.3">
      <c r="B4" s="11" t="s">
        <v>9</v>
      </c>
      <c r="C4" s="5">
        <v>24044.598374000001</v>
      </c>
      <c r="D4" s="5">
        <v>31809.378601</v>
      </c>
      <c r="E4" s="5">
        <v>35616.879901</v>
      </c>
      <c r="F4" s="5">
        <v>33394.782001</v>
      </c>
      <c r="G4" s="5">
        <v>39940.593720999997</v>
      </c>
      <c r="H4" s="5">
        <v>49123.01986</v>
      </c>
      <c r="I4" s="5">
        <v>34031.109063999997</v>
      </c>
      <c r="J4" s="5">
        <v>49902.953357999999</v>
      </c>
    </row>
    <row r="5" spans="2:12" ht="16.8" thickTop="1" thickBot="1" x14ac:dyDescent="0.3">
      <c r="B5" s="11" t="s">
        <v>10</v>
      </c>
      <c r="C5" s="5">
        <v>138905.89180000001</v>
      </c>
      <c r="D5" s="5">
        <v>126517.0953</v>
      </c>
      <c r="E5" s="5">
        <v>164690.87789999999</v>
      </c>
      <c r="F5" s="5">
        <v>149908.03</v>
      </c>
      <c r="G5" s="5">
        <v>153315.8334</v>
      </c>
      <c r="H5" s="5">
        <v>160130.33660000001</v>
      </c>
      <c r="I5" s="5">
        <v>139722.99110000001</v>
      </c>
      <c r="J5" s="5">
        <v>184621.64</v>
      </c>
    </row>
    <row r="6" spans="2:12" ht="16.8" thickTop="1" thickBot="1" x14ac:dyDescent="0.3">
      <c r="B6" s="10" t="s">
        <v>11</v>
      </c>
      <c r="C6" s="4">
        <v>51046.763751998602</v>
      </c>
      <c r="D6" s="4">
        <v>72721.2144649978</v>
      </c>
      <c r="E6" s="4">
        <v>76626.572034997997</v>
      </c>
      <c r="F6" s="4">
        <v>71047.033624995704</v>
      </c>
      <c r="G6" s="4">
        <v>85999.501089995101</v>
      </c>
      <c r="H6" s="4">
        <v>105711.198024995</v>
      </c>
      <c r="I6" s="4">
        <v>78740.848078999799</v>
      </c>
      <c r="J6" s="6">
        <v>141029.930174999</v>
      </c>
    </row>
    <row r="7" spans="2:12" ht="15" thickTop="1" x14ac:dyDescent="0.25"/>
  </sheetData>
  <phoneticPr fontId="17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Option Button 1">
              <controlPr defaultSize="0" autoFill="0" autoLine="0" autoPict="0">
                <anchor moveWithCells="1">
                  <from>
                    <xdr:col>2</xdr:col>
                    <xdr:colOff>15240</xdr:colOff>
                    <xdr:row>7</xdr:row>
                    <xdr:rowOff>160020</xdr:rowOff>
                  </from>
                  <to>
                    <xdr:col>3</xdr:col>
                    <xdr:colOff>137160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Option Button 2">
              <controlPr defaultSize="0" autoFill="0" autoLine="0" autoPict="0">
                <anchor moveWithCells="1">
                  <from>
                    <xdr:col>4</xdr:col>
                    <xdr:colOff>7620</xdr:colOff>
                    <xdr:row>7</xdr:row>
                    <xdr:rowOff>175260</xdr:rowOff>
                  </from>
                  <to>
                    <xdr:col>5</xdr:col>
                    <xdr:colOff>175260</xdr:colOff>
                    <xdr:row>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Option Button 3">
              <controlPr defaultSize="0" autoFill="0" autoLine="0" autoPict="0">
                <anchor moveWithCells="1">
                  <from>
                    <xdr:col>6</xdr:col>
                    <xdr:colOff>0</xdr:colOff>
                    <xdr:row>7</xdr:row>
                    <xdr:rowOff>167640</xdr:rowOff>
                  </from>
                  <to>
                    <xdr:col>7</xdr:col>
                    <xdr:colOff>91440</xdr:colOff>
                    <xdr:row>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Option Button 4">
              <controlPr defaultSize="0" autoFill="0" autoLine="0" autoPict="0">
                <anchor moveWithCells="1">
                  <from>
                    <xdr:col>7</xdr:col>
                    <xdr:colOff>594360</xdr:colOff>
                    <xdr:row>8</xdr:row>
                    <xdr:rowOff>7620</xdr:rowOff>
                  </from>
                  <to>
                    <xdr:col>9</xdr:col>
                    <xdr:colOff>15240</xdr:colOff>
                    <xdr:row>9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0565-A37B-4B25-9898-F72BF3BE2B46}">
  <dimension ref="B2:M7"/>
  <sheetViews>
    <sheetView zoomScale="120" zoomScaleNormal="120" workbookViewId="0">
      <selection activeCell="K11" sqref="K11"/>
    </sheetView>
  </sheetViews>
  <sheetFormatPr defaultRowHeight="14.4" x14ac:dyDescent="0.25"/>
  <sheetData>
    <row r="2" spans="2:13" ht="16.8" thickBot="1" x14ac:dyDescent="0.3">
      <c r="B2" s="23"/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L2">
        <v>4</v>
      </c>
      <c r="M2" s="31" t="s">
        <v>30</v>
      </c>
    </row>
    <row r="3" spans="2:13" ht="16.8" thickTop="1" thickBot="1" x14ac:dyDescent="0.3">
      <c r="B3" s="10" t="s">
        <v>8</v>
      </c>
      <c r="C3" s="4">
        <v>118181.316296</v>
      </c>
      <c r="D3" s="4">
        <v>99099.230947999997</v>
      </c>
      <c r="E3" s="4">
        <v>129451.363004</v>
      </c>
      <c r="F3" s="4">
        <v>121983.991515</v>
      </c>
      <c r="G3" s="4">
        <v>111410.697839</v>
      </c>
      <c r="H3" s="4">
        <v>115344.074077</v>
      </c>
      <c r="I3" s="4">
        <v>101106.093308</v>
      </c>
      <c r="J3" s="4">
        <v>118260.54954399999</v>
      </c>
      <c r="M3" s="29" t="s">
        <v>41</v>
      </c>
    </row>
    <row r="4" spans="2:13" ht="16.8" thickTop="1" thickBot="1" x14ac:dyDescent="0.3">
      <c r="B4" s="11" t="s">
        <v>9</v>
      </c>
      <c r="C4" s="5">
        <v>24044.598374000001</v>
      </c>
      <c r="D4" s="5">
        <v>31809.378601</v>
      </c>
      <c r="E4" s="5">
        <v>35616.879901</v>
      </c>
      <c r="F4" s="5">
        <v>33394.782001</v>
      </c>
      <c r="G4" s="5">
        <v>39940.593720999997</v>
      </c>
      <c r="H4" s="5">
        <v>49123.01986</v>
      </c>
      <c r="I4" s="5">
        <v>34031.109063999997</v>
      </c>
      <c r="J4" s="5">
        <v>49902.953357999999</v>
      </c>
    </row>
    <row r="5" spans="2:13" ht="16.8" thickTop="1" thickBot="1" x14ac:dyDescent="0.3">
      <c r="B5" s="11" t="s">
        <v>10</v>
      </c>
      <c r="C5" s="5">
        <v>138905.89180000001</v>
      </c>
      <c r="D5" s="5">
        <v>126517.0953</v>
      </c>
      <c r="E5" s="5">
        <v>164690.87789999999</v>
      </c>
      <c r="F5" s="5">
        <v>149908.03</v>
      </c>
      <c r="G5" s="5">
        <v>153315.8334</v>
      </c>
      <c r="H5" s="5">
        <v>160130.33660000001</v>
      </c>
      <c r="I5" s="5">
        <v>139722.99110000001</v>
      </c>
      <c r="J5" s="5">
        <v>184621.64</v>
      </c>
    </row>
    <row r="6" spans="2:13" ht="16.8" thickTop="1" thickBot="1" x14ac:dyDescent="0.3">
      <c r="B6" s="10" t="s">
        <v>11</v>
      </c>
      <c r="C6" s="4">
        <v>51046.763751998602</v>
      </c>
      <c r="D6" s="4">
        <v>72721.2144649978</v>
      </c>
      <c r="E6" s="4">
        <v>76626.572034997997</v>
      </c>
      <c r="F6" s="4">
        <v>71047.033624995704</v>
      </c>
      <c r="G6" s="4">
        <v>85999.501089995101</v>
      </c>
      <c r="H6" s="4">
        <v>105711.198024995</v>
      </c>
      <c r="I6" s="4">
        <v>78740.848078999799</v>
      </c>
      <c r="J6" s="6">
        <v>141029.930174999</v>
      </c>
    </row>
    <row r="7" spans="2:13" ht="15" thickTop="1" x14ac:dyDescent="0.25"/>
  </sheetData>
  <phoneticPr fontId="17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Drop Down 1">
              <controlPr defaultSize="0" autoLine="0" autoPict="0">
                <anchor moveWithCells="1">
                  <from>
                    <xdr:col>2</xdr:col>
                    <xdr:colOff>22860</xdr:colOff>
                    <xdr:row>7</xdr:row>
                    <xdr:rowOff>15240</xdr:rowOff>
                  </from>
                  <to>
                    <xdr:col>3</xdr:col>
                    <xdr:colOff>91440</xdr:colOff>
                    <xdr:row>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FCBF-90BB-49C2-911E-A0E1131C9C1A}">
  <dimension ref="A1:P14"/>
  <sheetViews>
    <sheetView zoomScale="120" zoomScaleNormal="120" workbookViewId="0">
      <selection activeCell="D15" sqref="D15"/>
    </sheetView>
  </sheetViews>
  <sheetFormatPr defaultRowHeight="14.4" x14ac:dyDescent="0.25"/>
  <cols>
    <col min="1" max="1" width="9.5546875" bestFit="1" customWidth="1"/>
    <col min="2" max="2" width="7.6640625" bestFit="1" customWidth="1"/>
    <col min="3" max="3" width="9.88671875" bestFit="1" customWidth="1"/>
    <col min="4" max="5" width="11.44140625" bestFit="1" customWidth="1"/>
  </cols>
  <sheetData>
    <row r="1" spans="1:16" ht="15.6" x14ac:dyDescent="0.25">
      <c r="A1" s="33" t="s">
        <v>42</v>
      </c>
      <c r="B1" s="34" t="s">
        <v>43</v>
      </c>
      <c r="C1" s="34" t="s">
        <v>44</v>
      </c>
      <c r="D1" s="34" t="s">
        <v>45</v>
      </c>
      <c r="E1" s="34" t="s">
        <v>43</v>
      </c>
      <c r="I1" s="29" t="s">
        <v>46</v>
      </c>
      <c r="J1" s="29"/>
      <c r="K1" s="29" t="s">
        <v>48</v>
      </c>
      <c r="N1" s="29" t="s">
        <v>52</v>
      </c>
    </row>
    <row r="2" spans="1:16" ht="15.6" x14ac:dyDescent="0.25">
      <c r="A2" s="35" t="s">
        <v>0</v>
      </c>
      <c r="B2" s="35">
        <v>11818.1316296</v>
      </c>
      <c r="C2" s="35">
        <v>2404.4598374000002</v>
      </c>
      <c r="D2" s="35">
        <v>13890.589180000001</v>
      </c>
      <c r="E2" s="34" t="s">
        <v>44</v>
      </c>
      <c r="F2" s="29" t="s">
        <v>46</v>
      </c>
      <c r="G2" s="29" t="s">
        <v>47</v>
      </c>
      <c r="I2">
        <v>1</v>
      </c>
      <c r="J2">
        <v>1</v>
      </c>
      <c r="K2" s="29" t="s">
        <v>49</v>
      </c>
      <c r="N2">
        <v>2</v>
      </c>
    </row>
    <row r="3" spans="1:16" ht="15.6" x14ac:dyDescent="0.25">
      <c r="A3" s="35" t="s">
        <v>1</v>
      </c>
      <c r="B3" s="35">
        <v>9909.9230948000004</v>
      </c>
      <c r="C3" s="35">
        <v>3180.9378600999999</v>
      </c>
      <c r="D3" s="35">
        <v>12651.70953</v>
      </c>
      <c r="E3" s="34" t="s">
        <v>45</v>
      </c>
      <c r="J3">
        <v>2</v>
      </c>
      <c r="K3" s="29" t="s">
        <v>50</v>
      </c>
    </row>
    <row r="4" spans="1:16" ht="15.6" x14ac:dyDescent="0.25">
      <c r="A4" s="35" t="s">
        <v>2</v>
      </c>
      <c r="B4" s="35">
        <v>12945.1363004</v>
      </c>
      <c r="C4" s="35">
        <v>3561.6879901000002</v>
      </c>
      <c r="D4" s="35">
        <v>16469.087790000001</v>
      </c>
      <c r="K4" s="29" t="s">
        <v>51</v>
      </c>
    </row>
    <row r="5" spans="1:16" ht="15.6" x14ac:dyDescent="0.25">
      <c r="A5" s="35" t="s">
        <v>3</v>
      </c>
      <c r="B5" s="35">
        <v>12198.3991515</v>
      </c>
      <c r="C5" s="35">
        <v>3339.4782000999999</v>
      </c>
      <c r="D5" s="35">
        <v>14990.803</v>
      </c>
      <c r="I5" s="29"/>
      <c r="K5" s="29" t="s">
        <v>53</v>
      </c>
    </row>
    <row r="6" spans="1:16" ht="15.6" x14ac:dyDescent="0.25">
      <c r="A6" s="35" t="s">
        <v>4</v>
      </c>
      <c r="B6" s="35">
        <v>11141.0697839</v>
      </c>
      <c r="C6" s="35">
        <v>3994.0593721</v>
      </c>
      <c r="D6" s="35">
        <v>15331.583339999999</v>
      </c>
      <c r="I6" s="29" t="s">
        <v>54</v>
      </c>
      <c r="J6">
        <v>1</v>
      </c>
      <c r="K6" s="29" t="s">
        <v>55</v>
      </c>
      <c r="N6">
        <v>2</v>
      </c>
      <c r="O6" s="29" t="s">
        <v>56</v>
      </c>
    </row>
    <row r="7" spans="1:16" ht="15.6" x14ac:dyDescent="0.25">
      <c r="A7" s="35" t="s">
        <v>5</v>
      </c>
      <c r="B7" s="35">
        <v>11534.4074077</v>
      </c>
      <c r="C7" s="35">
        <v>4912.3019860000004</v>
      </c>
      <c r="D7" s="35">
        <v>16013.033659999999</v>
      </c>
      <c r="I7" s="29" t="s">
        <v>47</v>
      </c>
      <c r="J7">
        <v>3</v>
      </c>
    </row>
    <row r="8" spans="1:16" ht="15.6" x14ac:dyDescent="0.25">
      <c r="A8" s="35" t="s">
        <v>6</v>
      </c>
      <c r="B8" s="35">
        <v>10110.6093308</v>
      </c>
      <c r="C8" s="35">
        <v>3403.1109064000002</v>
      </c>
      <c r="D8" s="35">
        <v>13972.29911</v>
      </c>
      <c r="K8" s="29" t="s">
        <v>57</v>
      </c>
    </row>
    <row r="9" spans="1:16" ht="15.6" x14ac:dyDescent="0.25">
      <c r="A9" s="35" t="s">
        <v>7</v>
      </c>
      <c r="B9" s="35">
        <v>11826.0549544</v>
      </c>
      <c r="C9" s="35">
        <v>4990.2953358000004</v>
      </c>
      <c r="D9" s="35">
        <v>18462.164000000001</v>
      </c>
      <c r="O9" s="29" t="s">
        <v>54</v>
      </c>
      <c r="P9" s="29" t="s">
        <v>47</v>
      </c>
    </row>
    <row r="10" spans="1:16" x14ac:dyDescent="0.25">
      <c r="F10" s="32"/>
      <c r="G10" s="32"/>
      <c r="H10" s="32"/>
      <c r="I10" s="32"/>
      <c r="J10" s="32"/>
      <c r="N10" s="29"/>
      <c r="O10">
        <v>1</v>
      </c>
      <c r="P10">
        <v>3</v>
      </c>
    </row>
    <row r="11" spans="1:16" x14ac:dyDescent="0.25">
      <c r="N11" s="29" t="s">
        <v>58</v>
      </c>
      <c r="O11" s="29" t="s">
        <v>59</v>
      </c>
    </row>
    <row r="12" spans="1:16" x14ac:dyDescent="0.25">
      <c r="O12">
        <v>2</v>
      </c>
      <c r="P12">
        <v>2</v>
      </c>
    </row>
    <row r="13" spans="1:16" x14ac:dyDescent="0.25">
      <c r="O13" s="29" t="s">
        <v>49</v>
      </c>
    </row>
    <row r="14" spans="1:16" x14ac:dyDescent="0.25">
      <c r="O14" s="29" t="s">
        <v>60</v>
      </c>
    </row>
  </sheetData>
  <phoneticPr fontId="17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Option Button 1">
              <controlPr defaultSize="0" autoFill="0" autoLine="0" autoPict="0">
                <anchor moveWithCells="1">
                  <from>
                    <xdr:col>4</xdr:col>
                    <xdr:colOff>739140</xdr:colOff>
                    <xdr:row>8</xdr:row>
                    <xdr:rowOff>152400</xdr:rowOff>
                  </from>
                  <to>
                    <xdr:col>6</xdr:col>
                    <xdr:colOff>60960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Option Button 2">
              <controlPr defaultSize="0" autoFill="0" autoLine="0" autoPict="0">
                <anchor moveWithCells="1">
                  <from>
                    <xdr:col>6</xdr:col>
                    <xdr:colOff>381000</xdr:colOff>
                    <xdr:row>8</xdr:row>
                    <xdr:rowOff>152400</xdr:rowOff>
                  </from>
                  <to>
                    <xdr:col>7</xdr:col>
                    <xdr:colOff>571500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Drop Down 3">
              <controlPr defaultSize="0" autoLine="0" autoPict="0">
                <anchor moveWithCells="1">
                  <from>
                    <xdr:col>9</xdr:col>
                    <xdr:colOff>243840</xdr:colOff>
                    <xdr:row>8</xdr:row>
                    <xdr:rowOff>182880</xdr:rowOff>
                  </from>
                  <to>
                    <xdr:col>10</xdr:col>
                    <xdr:colOff>556260</xdr:colOff>
                    <xdr:row>10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数据验证&amp;sumifs</vt:lpstr>
      <vt:lpstr>offset</vt:lpstr>
      <vt:lpstr>滚动条控件</vt:lpstr>
      <vt:lpstr>案例1</vt:lpstr>
      <vt:lpstr>案例2【多选控件】</vt:lpstr>
      <vt:lpstr>案例3</vt:lpstr>
      <vt:lpstr>案例4</vt:lpstr>
      <vt:lpstr>案例5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杨倩</dc:creator>
  <cp:lastModifiedBy>sunbin</cp:lastModifiedBy>
  <dcterms:created xsi:type="dcterms:W3CDTF">2017-05-13T08:29:00Z</dcterms:created>
  <dcterms:modified xsi:type="dcterms:W3CDTF">2019-07-13T13:20:21Z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